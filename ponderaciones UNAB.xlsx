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ndresbelloedu-my.sharepoint.com/personal/s_inzulzarodrguez_uandresbello_edu/Documents/Documents/"/>
    </mc:Choice>
  </mc:AlternateContent>
  <xr:revisionPtr revIDLastSave="0" documentId="8_{6EB7A925-B39A-438A-8D95-7987153C570D}" xr6:coauthVersionLast="47" xr6:coauthVersionMax="47" xr10:uidLastSave="{00000000-0000-0000-0000-000000000000}"/>
  <bookViews>
    <workbookView xWindow="-108" yWindow="-108" windowWidth="23256" windowHeight="12456" xr2:uid="{DF6E7E49-0004-4D32-B357-B6A1AC077642}"/>
  </bookViews>
  <sheets>
    <sheet name="PONDERACIONES" sheetId="1" r:id="rId1"/>
  </sheets>
  <externalReferences>
    <externalReference r:id="rId2"/>
  </externalReferences>
  <definedNames>
    <definedName name="_xlnm._FilterDatabase" localSheetId="0" hidden="1">PONDERACIONES!$A$1:$V$151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U151" i="1" l="1"/>
  <c r="F151" i="1"/>
  <c r="U150" i="1"/>
  <c r="F150" i="1"/>
  <c r="U149" i="1"/>
  <c r="F149" i="1"/>
  <c r="U148" i="1"/>
  <c r="F148" i="1"/>
  <c r="U147" i="1"/>
  <c r="F147" i="1"/>
  <c r="U146" i="1"/>
  <c r="F146" i="1"/>
  <c r="U145" i="1"/>
  <c r="F145" i="1"/>
  <c r="U144" i="1"/>
  <c r="F144" i="1"/>
  <c r="U143" i="1"/>
  <c r="F143" i="1"/>
  <c r="U142" i="1"/>
  <c r="F142" i="1"/>
  <c r="U141" i="1"/>
  <c r="F141" i="1"/>
  <c r="U140" i="1"/>
  <c r="F140" i="1"/>
  <c r="U139" i="1"/>
  <c r="F139" i="1"/>
  <c r="U138" i="1"/>
  <c r="F138" i="1"/>
  <c r="U137" i="1"/>
  <c r="F137" i="1"/>
  <c r="U136" i="1"/>
  <c r="F136" i="1"/>
  <c r="U135" i="1"/>
  <c r="F135" i="1"/>
  <c r="U134" i="1"/>
  <c r="F134" i="1"/>
  <c r="U133" i="1"/>
  <c r="F133" i="1"/>
  <c r="U132" i="1"/>
  <c r="F132" i="1"/>
  <c r="U131" i="1"/>
  <c r="F131" i="1"/>
  <c r="U130" i="1"/>
  <c r="F130" i="1"/>
  <c r="U129" i="1"/>
  <c r="U128" i="1"/>
  <c r="U127" i="1"/>
  <c r="F127" i="1"/>
  <c r="U126" i="1"/>
  <c r="U125" i="1"/>
  <c r="U124" i="1"/>
  <c r="U123" i="1"/>
  <c r="F123" i="1"/>
  <c r="U122" i="1"/>
  <c r="F122" i="1"/>
  <c r="U121" i="1"/>
  <c r="F121" i="1"/>
  <c r="U120" i="1"/>
  <c r="F120" i="1"/>
  <c r="U119" i="1"/>
  <c r="F119" i="1"/>
  <c r="U118" i="1"/>
  <c r="F118" i="1"/>
  <c r="U117" i="1"/>
  <c r="F117" i="1"/>
  <c r="U116" i="1"/>
  <c r="F116" i="1"/>
  <c r="U115" i="1"/>
  <c r="F115" i="1"/>
  <c r="U114" i="1"/>
  <c r="F114" i="1"/>
  <c r="U113" i="1"/>
  <c r="F113" i="1"/>
  <c r="U112" i="1"/>
  <c r="F112" i="1"/>
  <c r="U111" i="1"/>
  <c r="F111" i="1"/>
  <c r="U110" i="1"/>
  <c r="U109" i="1"/>
  <c r="U108" i="1"/>
  <c r="U107" i="1"/>
  <c r="U106" i="1"/>
  <c r="U105" i="1"/>
  <c r="F105" i="1"/>
  <c r="U104" i="1"/>
  <c r="F104" i="1"/>
  <c r="U103" i="1"/>
  <c r="F103" i="1"/>
  <c r="U102" i="1"/>
  <c r="F102" i="1"/>
  <c r="U101" i="1"/>
  <c r="F101" i="1"/>
  <c r="U100" i="1"/>
  <c r="F100" i="1"/>
  <c r="U99" i="1"/>
  <c r="F99" i="1"/>
  <c r="U98" i="1"/>
  <c r="F98" i="1"/>
  <c r="U97" i="1"/>
  <c r="U96" i="1"/>
  <c r="F96" i="1"/>
  <c r="U95" i="1"/>
  <c r="F95" i="1"/>
  <c r="U94" i="1"/>
  <c r="F94" i="1"/>
  <c r="U93" i="1"/>
  <c r="F93" i="1"/>
  <c r="U92" i="1"/>
  <c r="F92" i="1"/>
  <c r="U91" i="1"/>
  <c r="U90" i="1"/>
  <c r="U89" i="1"/>
  <c r="F89" i="1"/>
  <c r="U88" i="1"/>
  <c r="F88" i="1"/>
  <c r="U87" i="1"/>
  <c r="F87" i="1"/>
  <c r="U86" i="1"/>
  <c r="F86" i="1"/>
  <c r="U85" i="1"/>
  <c r="F85" i="1"/>
  <c r="U84" i="1"/>
  <c r="F84" i="1"/>
  <c r="U83" i="1"/>
  <c r="F83" i="1"/>
  <c r="U82" i="1"/>
  <c r="F82" i="1"/>
  <c r="U81" i="1"/>
  <c r="F81" i="1"/>
  <c r="U80" i="1"/>
  <c r="F80" i="1"/>
  <c r="U79" i="1"/>
  <c r="F79" i="1"/>
  <c r="U78" i="1"/>
  <c r="F78" i="1"/>
  <c r="U77" i="1"/>
  <c r="F77" i="1"/>
  <c r="U76" i="1"/>
  <c r="F76" i="1"/>
  <c r="U75" i="1"/>
  <c r="F75" i="1"/>
  <c r="U74" i="1"/>
  <c r="F74" i="1"/>
  <c r="U73" i="1"/>
  <c r="F73" i="1"/>
  <c r="U72" i="1"/>
  <c r="F72" i="1"/>
  <c r="U71" i="1"/>
  <c r="F71" i="1"/>
  <c r="U70" i="1"/>
  <c r="F70" i="1"/>
  <c r="U69" i="1"/>
  <c r="F69" i="1"/>
  <c r="U68" i="1"/>
  <c r="F68" i="1"/>
  <c r="U67" i="1"/>
  <c r="F67" i="1"/>
  <c r="U66" i="1"/>
  <c r="F66" i="1"/>
  <c r="U65" i="1"/>
  <c r="F65" i="1"/>
  <c r="U64" i="1"/>
  <c r="F64" i="1"/>
  <c r="U63" i="1"/>
  <c r="F63" i="1"/>
  <c r="U62" i="1"/>
  <c r="F62" i="1"/>
  <c r="U61" i="1"/>
  <c r="F61" i="1"/>
  <c r="U60" i="1"/>
  <c r="U59" i="1"/>
  <c r="F59" i="1"/>
  <c r="U58" i="1"/>
  <c r="F58" i="1"/>
  <c r="U57" i="1"/>
  <c r="F57" i="1"/>
  <c r="U56" i="1"/>
  <c r="F56" i="1"/>
  <c r="U55" i="1"/>
  <c r="U54" i="1"/>
  <c r="U53" i="1"/>
  <c r="F53" i="1"/>
  <c r="U52" i="1"/>
  <c r="F52" i="1"/>
  <c r="U51" i="1"/>
  <c r="U50" i="1"/>
  <c r="F50" i="1"/>
  <c r="U49" i="1"/>
  <c r="F49" i="1"/>
  <c r="U48" i="1"/>
  <c r="F48" i="1"/>
  <c r="U47" i="1"/>
  <c r="F47" i="1"/>
  <c r="U46" i="1"/>
  <c r="F46" i="1"/>
  <c r="U45" i="1"/>
  <c r="F45" i="1"/>
  <c r="U44" i="1"/>
  <c r="U43" i="1"/>
  <c r="U42" i="1"/>
  <c r="U41" i="1"/>
  <c r="U40" i="1"/>
  <c r="F40" i="1"/>
  <c r="U39" i="1"/>
  <c r="F39" i="1"/>
  <c r="U38" i="1"/>
  <c r="F38" i="1"/>
  <c r="U37" i="1"/>
  <c r="F37" i="1"/>
  <c r="U36" i="1"/>
  <c r="F36" i="1"/>
  <c r="U35" i="1"/>
  <c r="F35" i="1"/>
  <c r="U34" i="1"/>
  <c r="F34" i="1"/>
  <c r="U33" i="1"/>
  <c r="F33" i="1"/>
  <c r="U32" i="1"/>
  <c r="F32" i="1"/>
  <c r="U31" i="1"/>
  <c r="F31" i="1"/>
  <c r="U30" i="1"/>
  <c r="F30" i="1"/>
  <c r="U29" i="1"/>
  <c r="U28" i="1"/>
  <c r="U27" i="1"/>
  <c r="U26" i="1"/>
  <c r="F26" i="1"/>
  <c r="U25" i="1"/>
  <c r="U24" i="1"/>
  <c r="F24" i="1"/>
  <c r="U23" i="1"/>
  <c r="F23" i="1"/>
  <c r="U22" i="1"/>
  <c r="F22" i="1"/>
  <c r="U21" i="1"/>
  <c r="F21" i="1"/>
  <c r="U20" i="1"/>
  <c r="F20" i="1"/>
  <c r="U19" i="1"/>
  <c r="F19" i="1"/>
  <c r="U18" i="1"/>
  <c r="F18" i="1"/>
  <c r="U17" i="1"/>
  <c r="F17" i="1"/>
  <c r="U16" i="1"/>
  <c r="U15" i="1"/>
  <c r="F15" i="1"/>
  <c r="U14" i="1"/>
  <c r="F14" i="1"/>
  <c r="U13" i="1"/>
  <c r="F13" i="1"/>
  <c r="U12" i="1"/>
  <c r="F12" i="1"/>
  <c r="U11" i="1"/>
  <c r="F11" i="1"/>
  <c r="U10" i="1"/>
  <c r="F10" i="1"/>
  <c r="U9" i="1"/>
  <c r="F9" i="1"/>
  <c r="U8" i="1"/>
  <c r="F8" i="1"/>
  <c r="U7" i="1"/>
  <c r="F7" i="1"/>
  <c r="U6" i="1"/>
  <c r="F6" i="1"/>
  <c r="U5" i="1"/>
  <c r="F5" i="1"/>
  <c r="U4" i="1"/>
  <c r="F4" i="1"/>
  <c r="U3" i="1"/>
  <c r="F3" i="1"/>
  <c r="U2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Eliana Henriquez Reyes</author>
  </authors>
  <commentList>
    <comment ref="G106" authorId="0" shapeId="0" xr:uid="{13528E4F-48C6-4312-ACCF-50EEDCD59335}">
      <text>
        <r>
          <rPr>
            <sz val="11"/>
            <color theme="1"/>
            <rFont val="Aptos Narrow"/>
            <family val="2"/>
            <scheme val="minor"/>
          </rPr>
          <t>Fernanda Eliana Henriquez Reyes:
Código nuevo</t>
        </r>
      </text>
    </comment>
  </commentList>
</comments>
</file>

<file path=xl/sharedStrings.xml><?xml version="1.0" encoding="utf-8"?>
<sst xmlns="http://schemas.openxmlformats.org/spreadsheetml/2006/main" count="1604" uniqueCount="438">
  <si>
    <t>BANNER+ CAMP</t>
  </si>
  <si>
    <t>DEMRE</t>
  </si>
  <si>
    <t>SEDE</t>
  </si>
  <si>
    <t>Facultad</t>
  </si>
  <si>
    <t>Modalidad</t>
  </si>
  <si>
    <t>BANNER</t>
  </si>
  <si>
    <t>CAMPUS</t>
  </si>
  <si>
    <t>RÉGIMEN</t>
  </si>
  <si>
    <t>CARRERA</t>
  </si>
  <si>
    <t>NEM</t>
  </si>
  <si>
    <t>RKN</t>
  </si>
  <si>
    <t xml:space="preserve">LEM </t>
  </si>
  <si>
    <t>MAT1</t>
  </si>
  <si>
    <t>MAT2</t>
  </si>
  <si>
    <t>HIS</t>
  </si>
  <si>
    <t>CIEN</t>
  </si>
  <si>
    <t xml:space="preserve">POND </t>
  </si>
  <si>
    <t xml:space="preserve">PROM </t>
  </si>
  <si>
    <t>PSU CORTE 2026</t>
  </si>
  <si>
    <t>PSU CORTE 2027</t>
  </si>
  <si>
    <t>UNAB11500ANT</t>
  </si>
  <si>
    <t xml:space="preserve">Concepción </t>
  </si>
  <si>
    <t>Ciencias de la Vida</t>
  </si>
  <si>
    <t>Presencial</t>
  </si>
  <si>
    <t>UNAB15700CON</t>
  </si>
  <si>
    <t>CON</t>
  </si>
  <si>
    <t>diurno</t>
  </si>
  <si>
    <t>Administracion en Ecoturismo (cambio de nombre)</t>
  </si>
  <si>
    <t>-</t>
  </si>
  <si>
    <t>Administracion en Ecoturismo (cambio de nombre) - Concepción  (diurno)</t>
  </si>
  <si>
    <t>UNAB19150VIN</t>
  </si>
  <si>
    <t>Santiago</t>
  </si>
  <si>
    <t>UNAB15700REP</t>
  </si>
  <si>
    <t>REP</t>
  </si>
  <si>
    <t>Administracion en Ecoturismo (cambio de nombre) - Santiago (diurno)</t>
  </si>
  <si>
    <t>UNAB21652REP</t>
  </si>
  <si>
    <t>Viña</t>
  </si>
  <si>
    <t>UNAB15700VIN</t>
  </si>
  <si>
    <t>VIN</t>
  </si>
  <si>
    <t>Administracion en Ecoturismo (cambio de nombre) - Viña (diurno)</t>
  </si>
  <si>
    <t>UNAB22410VIN</t>
  </si>
  <si>
    <t>Arquitectura,Arte Diseño y Comunicación</t>
  </si>
  <si>
    <t>UNAB11100CCR</t>
  </si>
  <si>
    <t>CCR</t>
  </si>
  <si>
    <t>Arquitectura</t>
  </si>
  <si>
    <t>Arquitectura - Santiago (diurno)</t>
  </si>
  <si>
    <t>UNAB11500VIN</t>
  </si>
  <si>
    <t>UNAB11100CON</t>
  </si>
  <si>
    <t>Arquitectura - Concepción  (diurno)</t>
  </si>
  <si>
    <t>UNAB11900CAS</t>
  </si>
  <si>
    <t>UNAB11100VIN</t>
  </si>
  <si>
    <t>Arquitectura - Viña (diurno)</t>
  </si>
  <si>
    <t>UNAB19251CAS</t>
  </si>
  <si>
    <t>UNAB12345CCR</t>
  </si>
  <si>
    <t>Artes Visuales</t>
  </si>
  <si>
    <t>Artes Visuales - Santiago (diurno)</t>
  </si>
  <si>
    <t>UNAB11303REP</t>
  </si>
  <si>
    <t>UNAB18050CAS</t>
  </si>
  <si>
    <t>CAS</t>
  </si>
  <si>
    <t>Bachillerato en Ciencias de la Salud</t>
  </si>
  <si>
    <t>Bachillerato en Ciencias de la Salud - Santiago (diurno)</t>
  </si>
  <si>
    <t>UNAB37130</t>
  </si>
  <si>
    <t>UNAB18050CON</t>
  </si>
  <si>
    <t>Bachillerato en Ciencias de la Salud - Concepción  (diurno)</t>
  </si>
  <si>
    <t>UNAB19951CON</t>
  </si>
  <si>
    <t>UNAB18050REP</t>
  </si>
  <si>
    <t>UNAB11900CON</t>
  </si>
  <si>
    <t>UNAB18050VIN</t>
  </si>
  <si>
    <t>Bachillerato en Ciencias de la Salud - Viña (diurno)</t>
  </si>
  <si>
    <t>UNAB19951REP</t>
  </si>
  <si>
    <t>UNAB15686REP</t>
  </si>
  <si>
    <t xml:space="preserve">Biología </t>
  </si>
  <si>
    <t>Biología  - Santiago (diurno)</t>
  </si>
  <si>
    <t>UNAB19951VIN</t>
  </si>
  <si>
    <t>UNAB19100REP</t>
  </si>
  <si>
    <t>Biología Marina</t>
  </si>
  <si>
    <t>Biología Marina - Santiago (diurno)</t>
  </si>
  <si>
    <t>UNAB21700REP</t>
  </si>
  <si>
    <t>UNAB19900REP</t>
  </si>
  <si>
    <t>Bioquímica</t>
  </si>
  <si>
    <t>Bioquímica - Santiago (diurno)</t>
  </si>
  <si>
    <t>UNAB11303VIN</t>
  </si>
  <si>
    <t>Ingeniería</t>
  </si>
  <si>
    <t>UNAB17201</t>
  </si>
  <si>
    <t>UNAB17201CAS</t>
  </si>
  <si>
    <t>Computer Science Engineering</t>
  </si>
  <si>
    <t>Computer Science Engineering - Santiago (diurno)</t>
  </si>
  <si>
    <t>UNAB19700REP</t>
  </si>
  <si>
    <t>Economia y Negocios</t>
  </si>
  <si>
    <t>UNAB11700LNS</t>
  </si>
  <si>
    <t>LNS</t>
  </si>
  <si>
    <t>Contador Auditor</t>
  </si>
  <si>
    <t>Contador Auditor - Santiago (diurno)</t>
  </si>
  <si>
    <t>UNAB11900VIN</t>
  </si>
  <si>
    <t>UNAB11700VIN</t>
  </si>
  <si>
    <t>Contador Auditor - Viña (diurno)</t>
  </si>
  <si>
    <t>UNAB19150CON</t>
  </si>
  <si>
    <t>Semipresencial</t>
  </si>
  <si>
    <t>UNAB21700LNS</t>
  </si>
  <si>
    <t>vespertino</t>
  </si>
  <si>
    <t>Contador Auditor (Vespertino)</t>
  </si>
  <si>
    <t>Contador Auditor (Vespertino) - Santiago (vespertino)</t>
  </si>
  <si>
    <t>UNAB11350VIN</t>
  </si>
  <si>
    <t>Derecho</t>
  </si>
  <si>
    <t>UNAB11200BEL</t>
  </si>
  <si>
    <t>BEL</t>
  </si>
  <si>
    <t>Derecho - Santiago (diurno)</t>
  </si>
  <si>
    <t>UNAB11303CON</t>
  </si>
  <si>
    <t>UNAB11200CAS</t>
  </si>
  <si>
    <t>UNAB11400ANT</t>
  </si>
  <si>
    <t>UNAB11200CON</t>
  </si>
  <si>
    <t>Derecho - Concepción  (diurno)</t>
  </si>
  <si>
    <t>UNAB21900CON</t>
  </si>
  <si>
    <t>UNAB11200VIN</t>
  </si>
  <si>
    <t>Derecho - Viña (diurno)</t>
  </si>
  <si>
    <t>UNAB17000REP</t>
  </si>
  <si>
    <t>UNAB21200BEL</t>
  </si>
  <si>
    <t>Derecho (Vespertino)</t>
  </si>
  <si>
    <t>Derecho (Vespertino) - Santiago (vespertino)</t>
  </si>
  <si>
    <t>UNAB12372REP</t>
  </si>
  <si>
    <t>UNAB21200</t>
  </si>
  <si>
    <t>UNAB21200CON</t>
  </si>
  <si>
    <t>Derecho (Vespertino) - Concepción  (vespertino)</t>
  </si>
  <si>
    <t>UNAB21200VIN</t>
  </si>
  <si>
    <t>Derecho (Vespertino) - Viña (vespertino)</t>
  </si>
  <si>
    <t>UNAB12100ANT</t>
  </si>
  <si>
    <t>Educacion y Ciencias Sociales</t>
  </si>
  <si>
    <t>UNAB15601</t>
  </si>
  <si>
    <t>UNAB15601CAS</t>
  </si>
  <si>
    <t>Diploma de habilidades Laborales</t>
  </si>
  <si>
    <t>Diploma de habilidades Laborales - Santiago (diurno)</t>
  </si>
  <si>
    <t>UNAB14001CON</t>
  </si>
  <si>
    <t>UNAB15601CON</t>
  </si>
  <si>
    <t>Diploma de habilidades Laborales - Concepción  (diurno)</t>
  </si>
  <si>
    <t>UNAB21900REP</t>
  </si>
  <si>
    <t>UNAB15601VIN</t>
  </si>
  <si>
    <t>Diploma de habilidades Laborales - Viña (diurno)</t>
  </si>
  <si>
    <t>UNAB19202ANT</t>
  </si>
  <si>
    <t>UNAB19040CCR</t>
  </si>
  <si>
    <t>Diseño de Juegos Digitales</t>
  </si>
  <si>
    <t>Diseño de Juegos Digitales - Santiago (diurno)</t>
  </si>
  <si>
    <t>UNAB14001VIN</t>
  </si>
  <si>
    <t>UNAB19040CON</t>
  </si>
  <si>
    <t>Diseño de Juegos Digitales - Concepción  (diurno)</t>
  </si>
  <si>
    <t>UNAB19202CON</t>
  </si>
  <si>
    <t>UNAB19020CCR</t>
  </si>
  <si>
    <t>Diseño de Vestuario y Textil </t>
  </si>
  <si>
    <t>Diseño de Vestuario y Textil  - Santiago (diurno)</t>
  </si>
  <si>
    <t>UNAB29202ANT</t>
  </si>
  <si>
    <t>UNAB19030CCR</t>
  </si>
  <si>
    <t>Diseño Gráfico</t>
  </si>
  <si>
    <t>Diseño Gráfico - Santiago (diurno)</t>
  </si>
  <si>
    <t>UNAB12100CON</t>
  </si>
  <si>
    <t>UNAB13500CAS</t>
  </si>
  <si>
    <t>Educación Parvularia</t>
  </si>
  <si>
    <t>Educación Parvularia - Santiago (diurno)</t>
  </si>
  <si>
    <t>UNAB21900VIN</t>
  </si>
  <si>
    <t>UNAB13500VIN</t>
  </si>
  <si>
    <t>Educación Parvularia - Viña (diurno)</t>
  </si>
  <si>
    <t>UNAB11283CAS</t>
  </si>
  <si>
    <t>UNAB23500REP</t>
  </si>
  <si>
    <t>Educación Parvularia (Vespertino)</t>
  </si>
  <si>
    <t>Educación Parvularia (Vespertino) - Santiago (vespertino)</t>
  </si>
  <si>
    <t>Enfermeria</t>
  </si>
  <si>
    <t>UNAB19400CAS</t>
  </si>
  <si>
    <t>Enfermería</t>
  </si>
  <si>
    <t>Enfermería - Santiago (diurno)</t>
  </si>
  <si>
    <t>UNAB19400CON</t>
  </si>
  <si>
    <t>Enfermería - Concepción  (diurno)</t>
  </si>
  <si>
    <t>UNAB19400REP</t>
  </si>
  <si>
    <t>UNAB19400VIN</t>
  </si>
  <si>
    <t>Enfermería - Viña (diurno)</t>
  </si>
  <si>
    <t>Facultad de international college</t>
  </si>
  <si>
    <t>UNAB17332</t>
  </si>
  <si>
    <t>UNAB17333CAS</t>
  </si>
  <si>
    <t>Engineering and Technology Managemen</t>
  </si>
  <si>
    <t>Engineering and Technology Managemen - Santiago (diurno)</t>
  </si>
  <si>
    <t>UNAB12100VIN</t>
  </si>
  <si>
    <t>UNAB13700</t>
  </si>
  <si>
    <t>UNAB13700CAS</t>
  </si>
  <si>
    <t>Entrenador Deportivo</t>
  </si>
  <si>
    <t>Entrenador Deportivo - Santiago (diurno)</t>
  </si>
  <si>
    <t>UNAB17107CAS</t>
  </si>
  <si>
    <t>UNAB13700CON</t>
  </si>
  <si>
    <t>Entrenador Deportivo - Concepción  (diurno)</t>
  </si>
  <si>
    <t>UNAB13100CAS</t>
  </si>
  <si>
    <t>UNAB13700VIN</t>
  </si>
  <si>
    <t>Entrenador Deportivo - Viña (diurno)</t>
  </si>
  <si>
    <t>Rehabilitación</t>
  </si>
  <si>
    <t>UNAB19750CAS</t>
  </si>
  <si>
    <t>Fonoaudiología</t>
  </si>
  <si>
    <t>Fonoaudiología - Santiago (diurno)</t>
  </si>
  <si>
    <t>UNAB19750CON</t>
  </si>
  <si>
    <t>Fonoaudiología - Concepción  (diurno)</t>
  </si>
  <si>
    <t>UNAB19750VIN</t>
  </si>
  <si>
    <t>Fonoaudiología - Viña (diurno)</t>
  </si>
  <si>
    <t>UNAB19250CAS</t>
  </si>
  <si>
    <t>UNAB11350CON</t>
  </si>
  <si>
    <t>Geología</t>
  </si>
  <si>
    <t>Geología - Concepción  (diurno)</t>
  </si>
  <si>
    <t>UNAB19720CON</t>
  </si>
  <si>
    <t>UNAB11350REP</t>
  </si>
  <si>
    <t>Geología - Santiago (diurno)</t>
  </si>
  <si>
    <t>UNAB13100VIN</t>
  </si>
  <si>
    <t>Geología - Viña (diurno)</t>
  </si>
  <si>
    <t>UNAB17331</t>
  </si>
  <si>
    <t>UNAB17332CAS</t>
  </si>
  <si>
    <t>Global management</t>
  </si>
  <si>
    <t>Global management - Santiago (diurno)</t>
  </si>
  <si>
    <t>UNAB19720REP</t>
  </si>
  <si>
    <t>Ingeniería Ambiental</t>
  </si>
  <si>
    <t>Ingeniería Ambiental - Santiago (diurno)</t>
  </si>
  <si>
    <t>UNAB11300ANT</t>
  </si>
  <si>
    <t>ANT</t>
  </si>
  <si>
    <t>Ingeniería Civil</t>
  </si>
  <si>
    <t>Ingeniería Civil - Santiago (diurno)</t>
  </si>
  <si>
    <t>UNAB11305</t>
  </si>
  <si>
    <t>UNAB11305ANT</t>
  </si>
  <si>
    <t>Ingeniería Civil Eléctrica</t>
  </si>
  <si>
    <t>Ingeniería Civil Eléctrica - Santiago (diurno)</t>
  </si>
  <si>
    <t>UNAB17355</t>
  </si>
  <si>
    <t>UNAB17355CAS</t>
  </si>
  <si>
    <t>ingeniería civil en biomédica</t>
  </si>
  <si>
    <t>ingeniería civil en biomédica - Santiago (diurno)</t>
  </si>
  <si>
    <t>UNAB19250VIN</t>
  </si>
  <si>
    <t>Ingeniería Civil en Minas</t>
  </si>
  <si>
    <t>Ingeniería Civil en Minas - Concepción  (diurno)</t>
  </si>
  <si>
    <t>UNAB19720VIN</t>
  </si>
  <si>
    <t>Ingeniería Civil en Minas - Santiago (diurno)</t>
  </si>
  <si>
    <t>UNAB11850CCR</t>
  </si>
  <si>
    <t>Ingeniería Civil en Minas - Viña (diurno)</t>
  </si>
  <si>
    <t>Ingeniería Civil Industrial</t>
  </si>
  <si>
    <t>Ingeniería Civil Industrial - Santiago (diurno)</t>
  </si>
  <si>
    <t>UNAB12100CAS</t>
  </si>
  <si>
    <t>UNAB12100</t>
  </si>
  <si>
    <t>UNAB12200CAS</t>
  </si>
  <si>
    <t>UNAB11380REP</t>
  </si>
  <si>
    <t>Ingeniería Civil Industrial - Concepción  (diurno)</t>
  </si>
  <si>
    <t>UNAB11850CON</t>
  </si>
  <si>
    <t>Ingeniería Civil Industrial - Viña (diurno)</t>
  </si>
  <si>
    <t>UNAB12410LNS</t>
  </si>
  <si>
    <t>Online</t>
  </si>
  <si>
    <t>UNAB37044</t>
  </si>
  <si>
    <t>CCL</t>
  </si>
  <si>
    <t>Ingeniería Civil Industrial (Vespertino)</t>
  </si>
  <si>
    <t>Ingeniería Civil Industrial (Vespertino) - Santiago (vespertino)</t>
  </si>
  <si>
    <t>UNAB12210ANT</t>
  </si>
  <si>
    <t>Ingeniería Civil Informática</t>
  </si>
  <si>
    <t>Ingeniería Civil Informática - Santiago (diurno)</t>
  </si>
  <si>
    <t>UNAB12210CAS</t>
  </si>
  <si>
    <t>UNAB12510ANT</t>
  </si>
  <si>
    <t>UNAB12210CON</t>
  </si>
  <si>
    <t>Ingeniería Civil Informática - Concepción  (diurno)</t>
  </si>
  <si>
    <t>UNAB19500CON</t>
  </si>
  <si>
    <t>UNAB12210VIN</t>
  </si>
  <si>
    <t>Ingeniería Civil Informática - Viña (diurno)</t>
  </si>
  <si>
    <t>UNAB11600CAS</t>
  </si>
  <si>
    <t>Ingeniería Comercial</t>
  </si>
  <si>
    <t>Ingeniería Comercial - Santiago (diurno)</t>
  </si>
  <si>
    <t>UNAB11600BEL</t>
  </si>
  <si>
    <t>UNAB37129</t>
  </si>
  <si>
    <t>UNAB11600CON</t>
  </si>
  <si>
    <t>Ingeniería Comercial - Concepción  (diurno)</t>
  </si>
  <si>
    <t>UNAB19500REP</t>
  </si>
  <si>
    <t>UNAB11600VIN</t>
  </si>
  <si>
    <t>Ingeniería Comercial - Viña (diurno)</t>
  </si>
  <si>
    <t>UNAB21600BEL</t>
  </si>
  <si>
    <t>Ingeniería Comercial (Vespertino)</t>
  </si>
  <si>
    <t>Ingeniería Comercial (Vespertino) - Santiago (vespertino)</t>
  </si>
  <si>
    <t>UNAB19700VIN</t>
  </si>
  <si>
    <t>Ingeniería en Administración de Empresas</t>
  </si>
  <si>
    <t>Ingeniería en Administración de Empresas - Santiago (diurno)</t>
  </si>
  <si>
    <t>UNAB19500VIN</t>
  </si>
  <si>
    <t>UNAB12410VIN</t>
  </si>
  <si>
    <t>Ingeniería en Administración de Empresas - Viña (diurno)</t>
  </si>
  <si>
    <t>UNAB19150REP</t>
  </si>
  <si>
    <t>UNAB22410REP</t>
  </si>
  <si>
    <t>Ingeniería en Administración de Empresas (Vespertino)</t>
  </si>
  <si>
    <t>Ingeniería en Administración de Empresas (Vespertino) - Santiago (vespertino)</t>
  </si>
  <si>
    <t>Ingeniería en Administración de Empresas (Vespertino) - Viña (vespertino)</t>
  </si>
  <si>
    <t>Ingeniería en Administración Hotelera Internacional</t>
  </si>
  <si>
    <t>Ingeniería en Administración Hotelera Internacional - Santiago (diurno)</t>
  </si>
  <si>
    <t>Ingeniería en Automatización y Robótica</t>
  </si>
  <si>
    <t>Ingeniería en Automatización y Robótica - Santiago (diurno)</t>
  </si>
  <si>
    <t>UNAB19300CAS</t>
  </si>
  <si>
    <t>Ingeniería en Automatización y Robótica - Concepción  (diurno)</t>
  </si>
  <si>
    <t>Ingeniería en Automatización y Robótica (Vespertino)</t>
  </si>
  <si>
    <t>Ingeniería en Automatización y Robótica (Vespertino) - Santiago (vespertino)</t>
  </si>
  <si>
    <t>UNAB19910CON</t>
  </si>
  <si>
    <t>UNAB19980REP</t>
  </si>
  <si>
    <t>Ingeniería en Biotecnología</t>
  </si>
  <si>
    <t>Ingeniería en Biotecnología - Santiago (diurno)</t>
  </si>
  <si>
    <t>UNAB11910REP</t>
  </si>
  <si>
    <t>UNAB19980VIN</t>
  </si>
  <si>
    <t>Ingeniería en Biotecnología - Viña (diurno)</t>
  </si>
  <si>
    <t>Ingeniería en Computación e Informática</t>
  </si>
  <si>
    <t>Ingeniería en Computación e Informática - Santiago (diurno)</t>
  </si>
  <si>
    <t>UNAB19600CON</t>
  </si>
  <si>
    <t>Ingeniería en Computación e Informática - Viña (diurno)</t>
  </si>
  <si>
    <t>Ingeniería en Computación e Informática (Vespertino)</t>
  </si>
  <si>
    <t>Ingeniería en Computación e Informática (Vespertino) - Santiago (vespertino)</t>
  </si>
  <si>
    <t>Ingeniería en Construcción</t>
  </si>
  <si>
    <t>Ingeniería en Construcción - Santiago (diurno)</t>
  </si>
  <si>
    <t>UNAB19300CON</t>
  </si>
  <si>
    <t>Ingeniería en Marina Mercante </t>
  </si>
  <si>
    <t>Ingeniería en Marina Mercante  - Concepción  (diurno)</t>
  </si>
  <si>
    <t>UNAB19600REP</t>
  </si>
  <si>
    <t>Ingeniería en Marina Mercante  - Viña (diurno)</t>
  </si>
  <si>
    <t xml:space="preserve">Ingeniería en Negocios Internacionales </t>
  </si>
  <si>
    <t>Ingeniería en Negocios Internacionales  - Santiago (diurno)</t>
  </si>
  <si>
    <t>UNAB19300VIN</t>
  </si>
  <si>
    <t>UNAB17107</t>
  </si>
  <si>
    <t>UNAB17107CON</t>
  </si>
  <si>
    <t>Ingeniería en Negocios Internacionales  - Concepción  (diurno)</t>
  </si>
  <si>
    <t>UNAB19600VIN</t>
  </si>
  <si>
    <t>UNAB17107VIN</t>
  </si>
  <si>
    <t>Ingeniería en Negocios Internacionales  - Viña (diurno)</t>
  </si>
  <si>
    <t>Ingeniería en Turismo y Hotelería</t>
  </si>
  <si>
    <t>Ingeniería en Turismo y Hotelería - Santiago (diurno)</t>
  </si>
  <si>
    <t>UNAB19850CAS</t>
  </si>
  <si>
    <t>Ingeniería en Turismo y Hotelería - Viña (diurno)</t>
  </si>
  <si>
    <t>UNAB19910REP</t>
  </si>
  <si>
    <t>Ciencias Exactas</t>
  </si>
  <si>
    <t>Ingeniería Física</t>
  </si>
  <si>
    <t>Ingeniería Física - Santiago (diurno)</t>
  </si>
  <si>
    <t>Ingeniería Industrial</t>
  </si>
  <si>
    <t>Ingeniería Industrial - Santiago (diurno)</t>
  </si>
  <si>
    <t>Ingeniería Industrial (Vespertino)</t>
  </si>
  <si>
    <t>Ingeniería Industrial (Vespertino) - Santiago (vespertino)</t>
  </si>
  <si>
    <t>UNAB17200</t>
  </si>
  <si>
    <t>UNAB17200CAS</t>
  </si>
  <si>
    <t xml:space="preserve">International Business </t>
  </si>
  <si>
    <t>International Business  - Santiago (diurno)</t>
  </si>
  <si>
    <t>Kinesiología</t>
  </si>
  <si>
    <t>Kinesiología - Santiago (diurno)</t>
  </si>
  <si>
    <t>Kinesiología - Concepción  (diurno)</t>
  </si>
  <si>
    <t>Kinesiología - Viña (diurno)</t>
  </si>
  <si>
    <t>UNAB19205REP</t>
  </si>
  <si>
    <t>UNAB19205CON</t>
  </si>
  <si>
    <t>Licenciatura en Astronomía</t>
  </si>
  <si>
    <t>Licenciatura en Astronomía - Concepción  (diurno)</t>
  </si>
  <si>
    <t>UNAB19910VIN</t>
  </si>
  <si>
    <t>Licenciatura en Astronomía - Santiago (diurno)</t>
  </si>
  <si>
    <t>UNAB15756CAS</t>
  </si>
  <si>
    <t>UNAB11390REP</t>
  </si>
  <si>
    <t>Licenciatura en Física</t>
  </si>
  <si>
    <t>Licenciatura en Física - Santiago (diurno)</t>
  </si>
  <si>
    <t>UNAB15756VIN</t>
  </si>
  <si>
    <t>UNAB12310REP</t>
  </si>
  <si>
    <t>Licenciatura en Historia</t>
  </si>
  <si>
    <t>Licenciatura en Historia - Santiago (diurno)</t>
  </si>
  <si>
    <t>UNAB15760CAS</t>
  </si>
  <si>
    <t>Licenciatura en Letras</t>
  </si>
  <si>
    <t>Licenciatura en Letras - Santiago (diurno)</t>
  </si>
  <si>
    <t>Medicina</t>
  </si>
  <si>
    <t>UNAB19710</t>
  </si>
  <si>
    <t>UNAB19710CON</t>
  </si>
  <si>
    <t>Medicina - Concepción  (diurno)</t>
  </si>
  <si>
    <t>UNAB19710REP</t>
  </si>
  <si>
    <t>Medicina - Santiago (diurno)</t>
  </si>
  <si>
    <t>UNAB19710VIN</t>
  </si>
  <si>
    <t>Medicina - Viña (diurno)</t>
  </si>
  <si>
    <t>UNAB19710CAS</t>
  </si>
  <si>
    <t>UNAB19150</t>
  </si>
  <si>
    <t>Medicina Veterinaria</t>
  </si>
  <si>
    <t>Medicina Veterinaria - Concepción  (diurno)</t>
  </si>
  <si>
    <t>Medicina Veterinaria - Santiago (diurno)</t>
  </si>
  <si>
    <t>Medicina Veterinaria - Viña (diurno)</t>
  </si>
  <si>
    <t>Nutrición y Dietética</t>
  </si>
  <si>
    <t>Nutrición y Dietética - Concepción  (diurno)</t>
  </si>
  <si>
    <t>Nutrición y Dietética - Santiago (diurno)</t>
  </si>
  <si>
    <t>Nutrición y Dietética - Viña (diurno)</t>
  </si>
  <si>
    <t>Obstetricia</t>
  </si>
  <si>
    <t>Obstetricia - Concepción  (diurno)</t>
  </si>
  <si>
    <t>Obstetricia - Santiago (diurno)</t>
  </si>
  <si>
    <t>Obstetricia - Viña (diurno)</t>
  </si>
  <si>
    <t>Odontología</t>
  </si>
  <si>
    <t>Odontología - Concepción  (diurno)</t>
  </si>
  <si>
    <t>Odontología - Santiago (diurno)</t>
  </si>
  <si>
    <t>Odontología - Viña (diurno)</t>
  </si>
  <si>
    <t>Pedagogía Educación Física</t>
  </si>
  <si>
    <t>Pedagogía Educación Física - Santiago (diurno)</t>
  </si>
  <si>
    <t>UNAB19850CON</t>
  </si>
  <si>
    <t>Pedagogía Educación Física - Viña (diurno)</t>
  </si>
  <si>
    <t>UNAB15760</t>
  </si>
  <si>
    <t>Pedagogía en Inglés para la enseñanza básica y media</t>
  </si>
  <si>
    <t>Pedagogía en Inglés para la enseñanza básica y media - Santiago (diurno)</t>
  </si>
  <si>
    <t>UNAB15760CON</t>
  </si>
  <si>
    <t>Pedagogía en Inglés para la enseñanza básica y media - Concepción  (diurno)</t>
  </si>
  <si>
    <t>UNAB19850VIN</t>
  </si>
  <si>
    <t>UNAB15760VIN</t>
  </si>
  <si>
    <t>Pedagogía en Inglés para la enseñanza básica y media - Viña (diurno)</t>
  </si>
  <si>
    <t>UNAB11800CCR</t>
  </si>
  <si>
    <t>Periodismo</t>
  </si>
  <si>
    <t>Periodismo - Santiago (diurno)</t>
  </si>
  <si>
    <t>UNAB11283</t>
  </si>
  <si>
    <t>Prog. Esp.Lic Artes Musicales</t>
  </si>
  <si>
    <t>Prog. Esp.Lic Artes Musicales - Santiago (diurno)</t>
  </si>
  <si>
    <t>UNAB21652</t>
  </si>
  <si>
    <t>Prog. Ingeniería Comercial (Vesp)</t>
  </si>
  <si>
    <t>Prog. Ingeniería Comercial (Vesp) - Santiago (vespertino)</t>
  </si>
  <si>
    <t>Psicología</t>
  </si>
  <si>
    <t>Psicología - Santiago (diurno)</t>
  </si>
  <si>
    <t>Psicología - Concepción  (diurno)</t>
  </si>
  <si>
    <t>UNAB11280REP</t>
  </si>
  <si>
    <t>Psicología - Viña (diurno)</t>
  </si>
  <si>
    <t>UNAB19700CON</t>
  </si>
  <si>
    <t>Psicología (Vespertino)</t>
  </si>
  <si>
    <t>Psicología (Vespertino) - Concepción  (vespertino)</t>
  </si>
  <si>
    <t>Psicología (Vespertino) - Santiago (vespertino)</t>
  </si>
  <si>
    <t>Psicología (Vespertino) - Viña (vespertino)</t>
  </si>
  <si>
    <t>Psicopedagogía</t>
  </si>
  <si>
    <t>Psicopedagogía - Santiago (diurno)</t>
  </si>
  <si>
    <t>UNAB11280VIN</t>
  </si>
  <si>
    <t>Psicopedagogía - Viña (diurno)</t>
  </si>
  <si>
    <t>Publicidad</t>
  </si>
  <si>
    <t>Publicidad - Santiago (diurno)</t>
  </si>
  <si>
    <t>Publicidad - Concepción  (diurno)</t>
  </si>
  <si>
    <t>UNAB19510CON</t>
  </si>
  <si>
    <t>Química y Farmacia</t>
  </si>
  <si>
    <t>Química y Farmacia - Concepción  (diurno)</t>
  </si>
  <si>
    <t>UNAB19510REP</t>
  </si>
  <si>
    <t>Química y Farmacia - Santiago (diurno)</t>
  </si>
  <si>
    <t>UNAB19510VIN</t>
  </si>
  <si>
    <t>Química y Farmacia - Viña (diurno)</t>
  </si>
  <si>
    <t>Sociología</t>
  </si>
  <si>
    <t>Sociología - Santiago (diurno)</t>
  </si>
  <si>
    <t>Tecnología Médica</t>
  </si>
  <si>
    <t>Tecnología Médica - Concepción  (diurno)</t>
  </si>
  <si>
    <t>Tecnología Médica - Santiago (diurno)</t>
  </si>
  <si>
    <t>Tecnología Médica - Viña (diurno)</t>
  </si>
  <si>
    <t>Terapia Ocupacional</t>
  </si>
  <si>
    <t>Terapia Ocupacional - Santiago (diurno)</t>
  </si>
  <si>
    <t>Terapia Ocupacional - Concepción  (diurno)</t>
  </si>
  <si>
    <t>Terapia Ocupacional - Viña (diurno)</t>
  </si>
  <si>
    <t>Trabajo Social</t>
  </si>
  <si>
    <t>Trabajo Social - Santiago (diurno)</t>
  </si>
  <si>
    <t>Trabajo Social - Viña (diurno)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</si>
</sst>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Display"/>
      <family val="2"/>
      <scheme val="major"/>
    </font>
    <font>
      <sz val="9"/>
      <color theme="4" tint="-0.249977111117893"/>
      <name val="Aptos Narrow"/>
      <family val="2"/>
      <scheme val="minor"/>
    </font>
    <font>
      <sz val="9"/>
      <color rgb="FFC00000"/>
      <name val="Aptos Narrow"/>
      <family val="2"/>
      <scheme val="minor"/>
    </font>
    <font>
      <sz val="9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top"/>
    </xf>
    <xf numFmtId="9" fontId="2" fillId="0" borderId="1" xfId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9" fontId="2" fillId="0" borderId="1" xfId="1" quotePrefix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vertical="top"/>
    </xf>
    <xf numFmtId="9" fontId="2" fillId="5" borderId="1" xfId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vertical="top"/>
    </xf>
    <xf numFmtId="9" fontId="2" fillId="0" borderId="0" xfId="1" applyFont="1" applyAlignment="1">
      <alignment horizontal="center" vertical="center"/>
    </xf>
    <xf numFmtId="9" fontId="7" fillId="3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ernanda.henriquez\AppData\Local\Microsoft\Olk\Attachments\ooa-b4704dc4-bb76-4f02-8124-65b3c002a9a1\8e6d46e7e629fef1de276fd2ee879362394df0fc402745e02b23faaf096add5b\Politica%20Demre%202027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0_2"/>
      <sheetName val="2020_2D"/>
      <sheetName val="Diurno"/>
      <sheetName val="Vesp"/>
      <sheetName val="PROPUESTA NEM 2027"/>
      <sheetName val="Carreras 2027"/>
      <sheetName val="vacantes vesp"/>
      <sheetName val="codigos des"/>
      <sheetName val="Vac Bach CONV"/>
      <sheetName val="Percentiles"/>
      <sheetName val="Calculo Cuotas"/>
      <sheetName val="PC SALON"/>
      <sheetName val="%calculo 20%"/>
      <sheetName val="CAL-PON SIN NEM-RKN"/>
      <sheetName val="Bachi"/>
      <sheetName val="paginas"/>
      <sheetName val="Vac Bach CONV "/>
      <sheetName val="CTAS ID"/>
      <sheetName val="DESC"/>
      <sheetName val="Cararreras cerradas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DEMRE</v>
          </cell>
          <cell r="C1" t="str">
            <v>FACULTAD</v>
          </cell>
          <cell r="D1" t="str">
            <v>SEDE</v>
          </cell>
          <cell r="E1" t="str">
            <v>Modalidad</v>
          </cell>
          <cell r="F1" t="str">
            <v>BANNER</v>
          </cell>
          <cell r="G1" t="str">
            <v>CAMPUS</v>
          </cell>
          <cell r="H1" t="str">
            <v>CARRERA O PROGRAMA ACADÉMICO</v>
          </cell>
          <cell r="I1" t="str">
            <v>escuela</v>
          </cell>
          <cell r="J1" t="str">
            <v>Beca ingenia (100%mat por duracion carrera)</v>
          </cell>
          <cell r="K1" t="str">
            <v>NEM 26</v>
          </cell>
          <cell r="L1" t="str">
            <v>NEM 27-O</v>
          </cell>
          <cell r="M1" t="str">
            <v>NEM27</v>
          </cell>
          <cell r="N1" t="str">
            <v>RANKING</v>
          </cell>
          <cell r="O1" t="str">
            <v>EST. CARRERA 27</v>
          </cell>
          <cell r="P1" t="str">
            <v>NEM</v>
          </cell>
          <cell r="Q1" t="str">
            <v>RKN</v>
          </cell>
          <cell r="R1" t="str">
            <v xml:space="preserve">LEM </v>
          </cell>
          <cell r="S1" t="str">
            <v>MAT1</v>
          </cell>
          <cell r="T1" t="str">
            <v>MAT2</v>
          </cell>
          <cell r="U1" t="str">
            <v>HIS</v>
          </cell>
          <cell r="V1" t="str">
            <v>CIEN</v>
          </cell>
          <cell r="W1" t="str">
            <v xml:space="preserve">POND </v>
          </cell>
          <cell r="X1" t="str">
            <v xml:space="preserve">PROM </v>
          </cell>
          <cell r="Y1" t="str">
            <v>Exclusion_10_Sup</v>
          </cell>
          <cell r="Z1" t="str">
            <v>Vacantes Regulares</v>
          </cell>
          <cell r="AA1" t="str">
            <v>Sobre cupos</v>
          </cell>
          <cell r="AB1" t="str">
            <v xml:space="preserve">Convocados </v>
          </cell>
          <cell r="AC1" t="str">
            <v>BEA</v>
          </cell>
          <cell r="AD1" t="str">
            <v>STEM</v>
          </cell>
          <cell r="AE1" t="str">
            <v>MAX MT</v>
          </cell>
          <cell r="AF1" t="str">
            <v>Bach</v>
          </cell>
          <cell r="AG1" t="str">
            <v>AIEP</v>
          </cell>
          <cell r="AH1" t="str">
            <v>DEP</v>
          </cell>
          <cell r="AI1" t="str">
            <v>BACH EXTERNOS</v>
          </cell>
          <cell r="AJ1" t="str">
            <v>Discap</v>
          </cell>
          <cell r="AK1" t="str">
            <v>OTRAS VIAS SIN BACH</v>
          </cell>
          <cell r="AL1" t="str">
            <v>OTRAS VIAS</v>
          </cell>
          <cell r="AM1" t="str">
            <v>VIAS ESP TOTAL RG</v>
          </cell>
          <cell r="AN1" t="str">
            <v>pte ultimo conv- POND 2023 PAES</v>
          </cell>
          <cell r="AO1" t="str">
            <v>pte ultimo conv- POND 2024 PAES</v>
          </cell>
          <cell r="AP1" t="str">
            <v>pte ultimo conv- POND 2025 PAES</v>
          </cell>
          <cell r="AQ1" t="str">
            <v>pte ultimo conv- POND 2026 PAES</v>
          </cell>
          <cell r="AR1" t="str">
            <v>DIF</v>
          </cell>
          <cell r="AS1" t="str">
            <v>PON ULT MAT26</v>
          </cell>
          <cell r="AT1" t="str">
            <v>SEL PREV27</v>
          </cell>
        </row>
        <row r="2">
          <cell r="B2">
            <v>41107</v>
          </cell>
          <cell r="C2" t="str">
            <v>Ciencias de la Vida</v>
          </cell>
          <cell r="D2" t="str">
            <v xml:space="preserve">Concepción </v>
          </cell>
          <cell r="E2" t="str">
            <v>Presencial</v>
          </cell>
          <cell r="F2" t="str">
            <v>UNAB15700</v>
          </cell>
          <cell r="G2" t="str">
            <v>CON</v>
          </cell>
          <cell r="H2" t="str">
            <v>Administracion en Ecoturismo</v>
          </cell>
          <cell r="I2" t="e">
            <v>#N/A</v>
          </cell>
          <cell r="J2" t="str">
            <v>NO APLICA</v>
          </cell>
          <cell r="K2">
            <v>550</v>
          </cell>
          <cell r="L2" t="str">
            <v>Mantener</v>
          </cell>
          <cell r="M2">
            <v>550</v>
          </cell>
          <cell r="N2">
            <v>1</v>
          </cell>
          <cell r="O2" t="str">
            <v>MANTENER</v>
          </cell>
          <cell r="P2">
            <v>0.2</v>
          </cell>
          <cell r="Q2">
            <v>0.3</v>
          </cell>
          <cell r="R2">
            <v>0.1</v>
          </cell>
          <cell r="S2">
            <v>0.3</v>
          </cell>
          <cell r="T2" t="str">
            <v>-</v>
          </cell>
          <cell r="U2">
            <v>0.1</v>
          </cell>
          <cell r="V2">
            <v>0.1</v>
          </cell>
          <cell r="W2">
            <v>0</v>
          </cell>
          <cell r="X2">
            <v>458</v>
          </cell>
          <cell r="Y2" t="str">
            <v>SI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10</v>
          </cell>
          <cell r="AG2">
            <v>2</v>
          </cell>
          <cell r="AH2">
            <v>2</v>
          </cell>
          <cell r="AI2">
            <v>3</v>
          </cell>
          <cell r="AJ2">
            <v>0</v>
          </cell>
          <cell r="AK2">
            <v>-9</v>
          </cell>
          <cell r="AL2">
            <v>-12</v>
          </cell>
          <cell r="AM2">
            <v>5</v>
          </cell>
          <cell r="AN2">
            <v>477.2</v>
          </cell>
          <cell r="AO2">
            <v>463.1</v>
          </cell>
          <cell r="AP2">
            <v>457.7</v>
          </cell>
          <cell r="AQ2">
            <v>527</v>
          </cell>
          <cell r="AR2">
            <v>69.300000000000011</v>
          </cell>
          <cell r="AS2">
            <v>527</v>
          </cell>
          <cell r="AT2">
            <v>450</v>
          </cell>
        </row>
        <row r="3">
          <cell r="B3">
            <v>41023</v>
          </cell>
          <cell r="C3" t="str">
            <v>Ciencias de la Vida</v>
          </cell>
          <cell r="D3" t="str">
            <v>Santiago</v>
          </cell>
          <cell r="E3" t="str">
            <v>Presencial</v>
          </cell>
          <cell r="F3" t="str">
            <v>UNAB15700</v>
          </cell>
          <cell r="G3" t="str">
            <v>REP</v>
          </cell>
          <cell r="H3" t="str">
            <v>Administracion en Ecoturismo</v>
          </cell>
          <cell r="I3" t="e">
            <v>#N/A</v>
          </cell>
          <cell r="J3" t="str">
            <v>NO APLICA</v>
          </cell>
          <cell r="K3">
            <v>550</v>
          </cell>
          <cell r="L3" t="str">
            <v>Mantener</v>
          </cell>
          <cell r="M3">
            <v>550</v>
          </cell>
          <cell r="N3">
            <v>1</v>
          </cell>
          <cell r="O3" t="str">
            <v>MANTENER</v>
          </cell>
          <cell r="P3">
            <v>0.2</v>
          </cell>
          <cell r="Q3">
            <v>0.3</v>
          </cell>
          <cell r="R3">
            <v>0.1</v>
          </cell>
          <cell r="S3">
            <v>0.3</v>
          </cell>
          <cell r="T3" t="str">
            <v>-</v>
          </cell>
          <cell r="U3">
            <v>0.1</v>
          </cell>
          <cell r="V3">
            <v>0.1</v>
          </cell>
          <cell r="W3">
            <v>0</v>
          </cell>
          <cell r="X3">
            <v>458</v>
          </cell>
          <cell r="Y3" t="str">
            <v>SI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10</v>
          </cell>
          <cell r="AG3">
            <v>2</v>
          </cell>
          <cell r="AH3">
            <v>2</v>
          </cell>
          <cell r="AI3">
            <v>3</v>
          </cell>
          <cell r="AJ3">
            <v>0</v>
          </cell>
          <cell r="AK3">
            <v>-11</v>
          </cell>
          <cell r="AL3">
            <v>-14</v>
          </cell>
          <cell r="AM3">
            <v>3</v>
          </cell>
          <cell r="AN3">
            <v>474.3</v>
          </cell>
          <cell r="AO3">
            <v>379.6</v>
          </cell>
          <cell r="AP3">
            <v>403.7</v>
          </cell>
          <cell r="AQ3">
            <v>478.4</v>
          </cell>
          <cell r="AR3">
            <v>74.699999999999989</v>
          </cell>
          <cell r="AS3">
            <v>478.4</v>
          </cell>
          <cell r="AT3">
            <v>450</v>
          </cell>
        </row>
        <row r="4">
          <cell r="B4">
            <v>41072</v>
          </cell>
          <cell r="C4" t="str">
            <v>Ciencias de la Vida</v>
          </cell>
          <cell r="D4" t="str">
            <v>Viña</v>
          </cell>
          <cell r="E4" t="str">
            <v>Presencial</v>
          </cell>
          <cell r="F4" t="str">
            <v>UNAB15700</v>
          </cell>
          <cell r="G4" t="str">
            <v>VIN</v>
          </cell>
          <cell r="H4" t="str">
            <v>Administracion en Ecoturismo</v>
          </cell>
          <cell r="I4" t="e">
            <v>#N/A</v>
          </cell>
          <cell r="J4" t="str">
            <v>NO APLICA</v>
          </cell>
          <cell r="K4">
            <v>550</v>
          </cell>
          <cell r="L4" t="str">
            <v>Mantener</v>
          </cell>
          <cell r="M4">
            <v>550</v>
          </cell>
          <cell r="N4">
            <v>1</v>
          </cell>
          <cell r="O4" t="str">
            <v>MANTENER</v>
          </cell>
          <cell r="P4">
            <v>0.2</v>
          </cell>
          <cell r="Q4">
            <v>0.3</v>
          </cell>
          <cell r="R4">
            <v>0.1</v>
          </cell>
          <cell r="S4">
            <v>0.3</v>
          </cell>
          <cell r="T4" t="str">
            <v>-</v>
          </cell>
          <cell r="U4">
            <v>0.1</v>
          </cell>
          <cell r="V4">
            <v>0.1</v>
          </cell>
          <cell r="W4">
            <v>0</v>
          </cell>
          <cell r="X4">
            <v>458</v>
          </cell>
          <cell r="Y4" t="str">
            <v>SI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10</v>
          </cell>
          <cell r="AG4">
            <v>2</v>
          </cell>
          <cell r="AH4">
            <v>2</v>
          </cell>
          <cell r="AI4">
            <v>3</v>
          </cell>
          <cell r="AJ4">
            <v>0</v>
          </cell>
          <cell r="AK4">
            <v>-7</v>
          </cell>
          <cell r="AL4">
            <v>-10</v>
          </cell>
          <cell r="AM4">
            <v>7</v>
          </cell>
          <cell r="AN4">
            <v>498.8</v>
          </cell>
          <cell r="AO4">
            <v>407.1</v>
          </cell>
          <cell r="AP4">
            <v>432.1</v>
          </cell>
          <cell r="AQ4">
            <v>580.1</v>
          </cell>
          <cell r="AR4">
            <v>148</v>
          </cell>
          <cell r="AS4">
            <v>580.1</v>
          </cell>
          <cell r="AT4">
            <v>450</v>
          </cell>
        </row>
        <row r="5">
          <cell r="B5">
            <v>41000</v>
          </cell>
          <cell r="C5" t="str">
            <v>Arquitectura,Arte Diseño y Comunicación</v>
          </cell>
          <cell r="D5" t="str">
            <v>Santiago</v>
          </cell>
          <cell r="E5" t="str">
            <v>Presencial</v>
          </cell>
          <cell r="F5" t="str">
            <v>UNAB11100</v>
          </cell>
          <cell r="G5" t="str">
            <v>CCR</v>
          </cell>
          <cell r="H5" t="str">
            <v>Arquitectura</v>
          </cell>
          <cell r="I5" t="e">
            <v>#N/A</v>
          </cell>
          <cell r="J5" t="str">
            <v>NO APLICA</v>
          </cell>
          <cell r="K5">
            <v>600</v>
          </cell>
          <cell r="L5" t="str">
            <v>550↓</v>
          </cell>
          <cell r="M5">
            <v>550</v>
          </cell>
          <cell r="N5">
            <v>1</v>
          </cell>
          <cell r="O5" t="str">
            <v>MANTENER</v>
          </cell>
          <cell r="P5">
            <v>0.2</v>
          </cell>
          <cell r="Q5">
            <v>0.3</v>
          </cell>
          <cell r="R5">
            <v>0.1</v>
          </cell>
          <cell r="S5">
            <v>0.3</v>
          </cell>
          <cell r="T5" t="str">
            <v>-</v>
          </cell>
          <cell r="U5">
            <v>0.1</v>
          </cell>
          <cell r="V5">
            <v>0.1</v>
          </cell>
          <cell r="W5">
            <v>0</v>
          </cell>
          <cell r="X5">
            <v>458</v>
          </cell>
          <cell r="Y5" t="str">
            <v>SI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3</v>
          </cell>
          <cell r="AH5">
            <v>2</v>
          </cell>
          <cell r="AI5">
            <v>3</v>
          </cell>
          <cell r="AJ5">
            <v>0</v>
          </cell>
          <cell r="AK5">
            <v>26</v>
          </cell>
          <cell r="AL5">
            <v>23</v>
          </cell>
          <cell r="AM5">
            <v>31</v>
          </cell>
          <cell r="AN5">
            <v>537.5</v>
          </cell>
          <cell r="AO5">
            <v>504.2</v>
          </cell>
          <cell r="AP5">
            <v>386</v>
          </cell>
          <cell r="AQ5">
            <v>439.8</v>
          </cell>
          <cell r="AR5">
            <v>53.800000000000011</v>
          </cell>
          <cell r="AS5">
            <v>439.8</v>
          </cell>
          <cell r="AT5">
            <v>450</v>
          </cell>
        </row>
        <row r="6">
          <cell r="B6">
            <v>41061</v>
          </cell>
          <cell r="C6" t="str">
            <v>Arquitectura,Arte Diseño y Comunicación</v>
          </cell>
          <cell r="D6" t="str">
            <v>Viña</v>
          </cell>
          <cell r="E6" t="str">
            <v>Presencial</v>
          </cell>
          <cell r="F6" t="str">
            <v>UNAB11100</v>
          </cell>
          <cell r="G6" t="str">
            <v>VIN</v>
          </cell>
          <cell r="H6" t="str">
            <v>Arquitectura</v>
          </cell>
          <cell r="I6" t="e">
            <v>#N/A</v>
          </cell>
          <cell r="J6" t="str">
            <v>NO APLICA</v>
          </cell>
          <cell r="K6">
            <v>600</v>
          </cell>
          <cell r="L6" t="str">
            <v>550↓</v>
          </cell>
          <cell r="M6">
            <v>550</v>
          </cell>
          <cell r="N6">
            <v>1</v>
          </cell>
          <cell r="O6" t="str">
            <v>MANTENER</v>
          </cell>
          <cell r="P6">
            <v>0.2</v>
          </cell>
          <cell r="Q6">
            <v>0.3</v>
          </cell>
          <cell r="R6">
            <v>0.1</v>
          </cell>
          <cell r="S6">
            <v>0.3</v>
          </cell>
          <cell r="T6" t="str">
            <v>-</v>
          </cell>
          <cell r="U6">
            <v>0.1</v>
          </cell>
          <cell r="V6">
            <v>0.1</v>
          </cell>
          <cell r="W6">
            <v>0</v>
          </cell>
          <cell r="X6">
            <v>458</v>
          </cell>
          <cell r="Y6" t="str">
            <v>SI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3</v>
          </cell>
          <cell r="AH6">
            <v>2</v>
          </cell>
          <cell r="AI6">
            <v>3</v>
          </cell>
          <cell r="AJ6">
            <v>0</v>
          </cell>
          <cell r="AK6">
            <v>19</v>
          </cell>
          <cell r="AL6">
            <v>16</v>
          </cell>
          <cell r="AM6">
            <v>24</v>
          </cell>
          <cell r="AN6">
            <v>531.1</v>
          </cell>
          <cell r="AO6">
            <v>547.1</v>
          </cell>
          <cell r="AP6">
            <v>475</v>
          </cell>
          <cell r="AQ6">
            <v>489.2</v>
          </cell>
          <cell r="AR6">
            <v>14.199999999999989</v>
          </cell>
          <cell r="AS6">
            <v>489.2</v>
          </cell>
          <cell r="AT6">
            <v>490</v>
          </cell>
        </row>
        <row r="7">
          <cell r="B7">
            <v>41209</v>
          </cell>
          <cell r="C7" t="str">
            <v>Arquitectura,Arte Diseño y Comunicación</v>
          </cell>
          <cell r="D7" t="str">
            <v xml:space="preserve">Concepción </v>
          </cell>
          <cell r="E7" t="str">
            <v>Presencial</v>
          </cell>
          <cell r="F7" t="str">
            <v>UNAB11100</v>
          </cell>
          <cell r="G7" t="str">
            <v>CON</v>
          </cell>
          <cell r="H7" t="str">
            <v>Arquitectura</v>
          </cell>
          <cell r="I7" t="e">
            <v>#N/A</v>
          </cell>
          <cell r="J7" t="str">
            <v>NO APLICA</v>
          </cell>
          <cell r="K7">
            <v>600</v>
          </cell>
          <cell r="L7" t="str">
            <v>550↓</v>
          </cell>
          <cell r="M7">
            <v>550</v>
          </cell>
          <cell r="N7">
            <v>1</v>
          </cell>
          <cell r="O7" t="str">
            <v>MANTENER</v>
          </cell>
          <cell r="P7">
            <v>0.2</v>
          </cell>
          <cell r="Q7">
            <v>0.3</v>
          </cell>
          <cell r="R7">
            <v>0.1</v>
          </cell>
          <cell r="S7">
            <v>0.3</v>
          </cell>
          <cell r="T7" t="str">
            <v>-</v>
          </cell>
          <cell r="U7">
            <v>0.1</v>
          </cell>
          <cell r="V7">
            <v>0.1</v>
          </cell>
          <cell r="W7">
            <v>0</v>
          </cell>
          <cell r="X7">
            <v>458</v>
          </cell>
          <cell r="Y7" t="str">
            <v>SI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3</v>
          </cell>
          <cell r="AH7">
            <v>2</v>
          </cell>
          <cell r="AI7">
            <v>3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531.1</v>
          </cell>
          <cell r="AO7">
            <v>487.8</v>
          </cell>
          <cell r="AP7">
            <v>473.2</v>
          </cell>
          <cell r="AQ7">
            <v>517.4</v>
          </cell>
          <cell r="AR7">
            <v>44.199999999999989</v>
          </cell>
          <cell r="AS7">
            <v>517.4</v>
          </cell>
          <cell r="AT7">
            <v>450</v>
          </cell>
        </row>
        <row r="8">
          <cell r="B8">
            <v>41003</v>
          </cell>
          <cell r="C8" t="str">
            <v>Arquitectura,Arte Diseño y Comunicación</v>
          </cell>
          <cell r="D8" t="str">
            <v>Santiago</v>
          </cell>
          <cell r="E8" t="str">
            <v>Presencial</v>
          </cell>
          <cell r="F8" t="str">
            <v>UNAB12345</v>
          </cell>
          <cell r="G8" t="str">
            <v>CCR</v>
          </cell>
          <cell r="H8" t="str">
            <v>Artes Visuales</v>
          </cell>
          <cell r="I8" t="e">
            <v>#N/A</v>
          </cell>
          <cell r="J8" t="str">
            <v>NO APLICA</v>
          </cell>
          <cell r="K8">
            <v>550</v>
          </cell>
          <cell r="L8" t="str">
            <v>Mantener</v>
          </cell>
          <cell r="M8">
            <v>550</v>
          </cell>
          <cell r="N8">
            <v>1</v>
          </cell>
          <cell r="O8" t="str">
            <v>MANTENER</v>
          </cell>
          <cell r="P8">
            <v>0.2</v>
          </cell>
          <cell r="Q8">
            <v>0.1</v>
          </cell>
          <cell r="R8">
            <v>0.3</v>
          </cell>
          <cell r="S8">
            <v>0.2</v>
          </cell>
          <cell r="T8" t="str">
            <v>-</v>
          </cell>
          <cell r="U8">
            <v>0.2</v>
          </cell>
          <cell r="V8">
            <v>0.2</v>
          </cell>
          <cell r="W8">
            <v>0</v>
          </cell>
          <cell r="X8">
            <v>458</v>
          </cell>
          <cell r="Y8" t="str">
            <v>SI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3</v>
          </cell>
          <cell r="AH8">
            <v>2</v>
          </cell>
          <cell r="AI8">
            <v>3</v>
          </cell>
          <cell r="AJ8">
            <v>0</v>
          </cell>
          <cell r="AK8">
            <v>-2</v>
          </cell>
          <cell r="AL8">
            <v>-5</v>
          </cell>
          <cell r="AM8">
            <v>3</v>
          </cell>
          <cell r="AN8">
            <v>440</v>
          </cell>
          <cell r="AO8">
            <v>407.1</v>
          </cell>
          <cell r="AP8">
            <v>412.4</v>
          </cell>
          <cell r="AQ8">
            <v>499.4</v>
          </cell>
          <cell r="AR8">
            <v>87</v>
          </cell>
          <cell r="AS8">
            <v>499.4</v>
          </cell>
          <cell r="AT8">
            <v>450</v>
          </cell>
        </row>
        <row r="9">
          <cell r="B9">
            <v>41212</v>
          </cell>
          <cell r="C9" t="str">
            <v>Ciencias de la Vida</v>
          </cell>
          <cell r="D9" t="str">
            <v>Santiago</v>
          </cell>
          <cell r="E9" t="str">
            <v>Presencial</v>
          </cell>
          <cell r="F9" t="str">
            <v>UNAB18050</v>
          </cell>
          <cell r="G9" t="str">
            <v>REP</v>
          </cell>
          <cell r="H9" t="str">
            <v>Bachillerato en Ciencias de la Salud</v>
          </cell>
          <cell r="I9" t="e">
            <v>#N/A</v>
          </cell>
          <cell r="J9" t="str">
            <v>NO APLICA</v>
          </cell>
          <cell r="K9">
            <v>550</v>
          </cell>
          <cell r="L9" t="str">
            <v>Mantener</v>
          </cell>
          <cell r="M9">
            <v>550</v>
          </cell>
          <cell r="N9">
            <v>1</v>
          </cell>
          <cell r="O9" t="str">
            <v>MANTENER</v>
          </cell>
          <cell r="P9">
            <v>0.2</v>
          </cell>
          <cell r="Q9">
            <v>0.3</v>
          </cell>
          <cell r="R9">
            <v>0.1</v>
          </cell>
          <cell r="S9">
            <v>0.3</v>
          </cell>
          <cell r="T9" t="str">
            <v>-</v>
          </cell>
          <cell r="U9" t="str">
            <v>-</v>
          </cell>
          <cell r="V9">
            <v>0.1</v>
          </cell>
          <cell r="W9">
            <v>0</v>
          </cell>
          <cell r="X9">
            <v>458</v>
          </cell>
          <cell r="Y9" t="str">
            <v>SI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2</v>
          </cell>
          <cell r="AI9">
            <v>3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449</v>
          </cell>
          <cell r="AO9">
            <v>586.29999999999995</v>
          </cell>
          <cell r="AP9">
            <v>602</v>
          </cell>
          <cell r="AQ9">
            <v>537.70000000000005</v>
          </cell>
          <cell r="AR9">
            <v>-64.299999999999955</v>
          </cell>
          <cell r="AS9">
            <v>504.2</v>
          </cell>
          <cell r="AT9">
            <v>450</v>
          </cell>
        </row>
        <row r="10">
          <cell r="B10">
            <v>41213</v>
          </cell>
          <cell r="C10" t="str">
            <v>Ciencias de la Vida</v>
          </cell>
          <cell r="D10" t="str">
            <v>Viña</v>
          </cell>
          <cell r="E10" t="str">
            <v>Presencial</v>
          </cell>
          <cell r="F10" t="str">
            <v>UNAB18050</v>
          </cell>
          <cell r="G10" t="str">
            <v>VIN</v>
          </cell>
          <cell r="H10" t="str">
            <v>Bachillerato en Ciencias de la Salud</v>
          </cell>
          <cell r="I10" t="e">
            <v>#N/A</v>
          </cell>
          <cell r="J10" t="str">
            <v>NO APLICA</v>
          </cell>
          <cell r="K10">
            <v>550</v>
          </cell>
          <cell r="L10" t="str">
            <v>Mantener</v>
          </cell>
          <cell r="M10">
            <v>550</v>
          </cell>
          <cell r="N10">
            <v>1</v>
          </cell>
          <cell r="O10" t="str">
            <v>MANTENER</v>
          </cell>
          <cell r="P10">
            <v>0.2</v>
          </cell>
          <cell r="Q10">
            <v>0.3</v>
          </cell>
          <cell r="R10">
            <v>0.1</v>
          </cell>
          <cell r="S10">
            <v>0.3</v>
          </cell>
          <cell r="T10" t="str">
            <v>-</v>
          </cell>
          <cell r="U10" t="str">
            <v>-</v>
          </cell>
          <cell r="V10">
            <v>0.1</v>
          </cell>
          <cell r="W10">
            <v>0</v>
          </cell>
          <cell r="X10">
            <v>458</v>
          </cell>
          <cell r="Y10" t="str">
            <v>SI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2</v>
          </cell>
          <cell r="AI10">
            <v>3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447.9</v>
          </cell>
          <cell r="AO10">
            <v>601.79999999999995</v>
          </cell>
          <cell r="AP10">
            <v>729.6</v>
          </cell>
          <cell r="AQ10">
            <v>653</v>
          </cell>
          <cell r="AR10">
            <v>-76.600000000000023</v>
          </cell>
          <cell r="AS10">
            <v>479.1</v>
          </cell>
          <cell r="AT10">
            <v>450</v>
          </cell>
        </row>
        <row r="11">
          <cell r="B11">
            <v>41214</v>
          </cell>
          <cell r="C11" t="str">
            <v>Ciencias de la Vida</v>
          </cell>
          <cell r="D11" t="str">
            <v xml:space="preserve">Concepción </v>
          </cell>
          <cell r="E11" t="str">
            <v>Presencial</v>
          </cell>
          <cell r="F11" t="str">
            <v>UNAB18050</v>
          </cell>
          <cell r="G11" t="str">
            <v>CON</v>
          </cell>
          <cell r="H11" t="str">
            <v>Bachillerato en Ciencias de la Salud</v>
          </cell>
          <cell r="I11" t="e">
            <v>#N/A</v>
          </cell>
          <cell r="J11" t="str">
            <v>NO APLICA</v>
          </cell>
          <cell r="K11">
            <v>550</v>
          </cell>
          <cell r="L11" t="str">
            <v>Mantener</v>
          </cell>
          <cell r="M11">
            <v>550</v>
          </cell>
          <cell r="N11">
            <v>1</v>
          </cell>
          <cell r="O11" t="str">
            <v>MANTENER</v>
          </cell>
          <cell r="P11">
            <v>0.2</v>
          </cell>
          <cell r="Q11">
            <v>0.3</v>
          </cell>
          <cell r="R11">
            <v>0.1</v>
          </cell>
          <cell r="S11">
            <v>0.3</v>
          </cell>
          <cell r="T11" t="str">
            <v>-</v>
          </cell>
          <cell r="U11" t="str">
            <v>-</v>
          </cell>
          <cell r="V11">
            <v>0.1</v>
          </cell>
          <cell r="W11">
            <v>0</v>
          </cell>
          <cell r="X11">
            <v>458</v>
          </cell>
          <cell r="Y11" t="str">
            <v>SI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2</v>
          </cell>
          <cell r="AI11">
            <v>3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463.3</v>
          </cell>
          <cell r="AO11">
            <v>553.5</v>
          </cell>
          <cell r="AP11">
            <v>424.8</v>
          </cell>
          <cell r="AQ11">
            <v>507.1</v>
          </cell>
          <cell r="AR11">
            <v>82.300000000000011</v>
          </cell>
          <cell r="AS11">
            <v>507.1</v>
          </cell>
          <cell r="AT11">
            <v>450</v>
          </cell>
        </row>
        <row r="12">
          <cell r="B12">
            <v>41215</v>
          </cell>
          <cell r="C12" t="str">
            <v>Ciencias de la Vida</v>
          </cell>
          <cell r="D12" t="str">
            <v>Santiago</v>
          </cell>
          <cell r="E12" t="str">
            <v>Presencial</v>
          </cell>
          <cell r="F12" t="str">
            <v>UNAB18050</v>
          </cell>
          <cell r="G12" t="str">
            <v>CAS</v>
          </cell>
          <cell r="H12" t="str">
            <v>Bachillerato en Ciencias de la Salud</v>
          </cell>
          <cell r="I12" t="e">
            <v>#N/A</v>
          </cell>
          <cell r="J12" t="str">
            <v>NO APLICA</v>
          </cell>
          <cell r="K12">
            <v>550</v>
          </cell>
          <cell r="L12" t="str">
            <v>Mantener</v>
          </cell>
          <cell r="M12">
            <v>550</v>
          </cell>
          <cell r="N12">
            <v>1</v>
          </cell>
          <cell r="O12" t="str">
            <v>MANTENER</v>
          </cell>
          <cell r="P12">
            <v>0.2</v>
          </cell>
          <cell r="Q12">
            <v>0.3</v>
          </cell>
          <cell r="R12">
            <v>0.1</v>
          </cell>
          <cell r="S12">
            <v>0.3</v>
          </cell>
          <cell r="T12" t="str">
            <v>-</v>
          </cell>
          <cell r="U12" t="str">
            <v>-</v>
          </cell>
          <cell r="V12">
            <v>0.1</v>
          </cell>
          <cell r="W12">
            <v>0</v>
          </cell>
          <cell r="X12">
            <v>458</v>
          </cell>
          <cell r="Y12" t="str">
            <v>SI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2</v>
          </cell>
          <cell r="AI12">
            <v>3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482.7</v>
          </cell>
          <cell r="AO12">
            <v>406.3</v>
          </cell>
          <cell r="AP12">
            <v>418.5</v>
          </cell>
          <cell r="AQ12">
            <v>463</v>
          </cell>
          <cell r="AR12">
            <v>44.5</v>
          </cell>
          <cell r="AS12">
            <v>463.2</v>
          </cell>
          <cell r="AT12">
            <v>450</v>
          </cell>
        </row>
        <row r="13">
          <cell r="B13">
            <v>41007</v>
          </cell>
          <cell r="C13" t="str">
            <v>Ciencias de la Vida</v>
          </cell>
          <cell r="D13" t="str">
            <v>Santiago</v>
          </cell>
          <cell r="E13" t="str">
            <v>Presencial</v>
          </cell>
          <cell r="F13" t="str">
            <v>UNAB15686</v>
          </cell>
          <cell r="G13" t="str">
            <v>REP</v>
          </cell>
          <cell r="H13" t="str">
            <v xml:space="preserve">Biología </v>
          </cell>
          <cell r="I13" t="str">
            <v>A5 - ESCUELA DE BIOCIENCIAS</v>
          </cell>
          <cell r="J13" t="str">
            <v>NO APLICA</v>
          </cell>
          <cell r="K13">
            <v>600</v>
          </cell>
          <cell r="L13" t="str">
            <v>550↓</v>
          </cell>
          <cell r="M13">
            <v>550</v>
          </cell>
          <cell r="N13">
            <v>1</v>
          </cell>
          <cell r="O13" t="str">
            <v>MANTENER</v>
          </cell>
          <cell r="P13">
            <v>0.2</v>
          </cell>
          <cell r="Q13">
            <v>0.3</v>
          </cell>
          <cell r="R13">
            <v>0.1</v>
          </cell>
          <cell r="S13">
            <v>0.2</v>
          </cell>
          <cell r="T13" t="str">
            <v>-</v>
          </cell>
          <cell r="U13" t="str">
            <v>-</v>
          </cell>
          <cell r="V13">
            <v>0.2</v>
          </cell>
          <cell r="W13">
            <v>0</v>
          </cell>
          <cell r="X13">
            <v>458</v>
          </cell>
          <cell r="Y13" t="str">
            <v>SI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10</v>
          </cell>
          <cell r="AG13">
            <v>1</v>
          </cell>
          <cell r="AH13">
            <v>2</v>
          </cell>
          <cell r="AI13">
            <v>3</v>
          </cell>
          <cell r="AJ13">
            <v>0</v>
          </cell>
          <cell r="AK13">
            <v>-9</v>
          </cell>
          <cell r="AL13">
            <v>-12</v>
          </cell>
          <cell r="AM13">
            <v>4</v>
          </cell>
          <cell r="AN13">
            <v>442.3</v>
          </cell>
          <cell r="AO13">
            <v>400.1</v>
          </cell>
          <cell r="AP13">
            <v>438.5</v>
          </cell>
          <cell r="AQ13">
            <v>487.5</v>
          </cell>
          <cell r="AR13">
            <v>49</v>
          </cell>
          <cell r="AS13">
            <v>487.5</v>
          </cell>
          <cell r="AT13">
            <v>490</v>
          </cell>
        </row>
        <row r="14">
          <cell r="B14">
            <v>41022</v>
          </cell>
          <cell r="C14" t="str">
            <v>Ciencias de la Vida</v>
          </cell>
          <cell r="D14" t="str">
            <v>Santiago</v>
          </cell>
          <cell r="E14" t="str">
            <v>Presencial</v>
          </cell>
          <cell r="F14" t="str">
            <v>UNAB19100</v>
          </cell>
          <cell r="G14" t="str">
            <v>REP</v>
          </cell>
          <cell r="H14" t="str">
            <v>Biología Marina</v>
          </cell>
          <cell r="I14" t="e">
            <v>#N/A</v>
          </cell>
          <cell r="J14" t="str">
            <v>NO APLICA</v>
          </cell>
          <cell r="K14">
            <v>600</v>
          </cell>
          <cell r="L14" t="str">
            <v>550↓</v>
          </cell>
          <cell r="M14">
            <v>550</v>
          </cell>
          <cell r="N14">
            <v>1</v>
          </cell>
          <cell r="O14" t="str">
            <v>MANTENER</v>
          </cell>
          <cell r="P14">
            <v>0.2</v>
          </cell>
          <cell r="Q14">
            <v>0.3</v>
          </cell>
          <cell r="R14">
            <v>0.1</v>
          </cell>
          <cell r="S14">
            <v>0.3</v>
          </cell>
          <cell r="T14" t="str">
            <v>-</v>
          </cell>
          <cell r="U14">
            <v>0.1</v>
          </cell>
          <cell r="V14">
            <v>0.1</v>
          </cell>
          <cell r="W14">
            <v>0</v>
          </cell>
          <cell r="X14">
            <v>458</v>
          </cell>
          <cell r="Y14" t="str">
            <v>SI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10</v>
          </cell>
          <cell r="AG14">
            <v>1</v>
          </cell>
          <cell r="AH14">
            <v>2</v>
          </cell>
          <cell r="AI14">
            <v>3</v>
          </cell>
          <cell r="AJ14">
            <v>0</v>
          </cell>
          <cell r="AK14">
            <v>-5</v>
          </cell>
          <cell r="AL14">
            <v>-8</v>
          </cell>
          <cell r="AM14">
            <v>8</v>
          </cell>
          <cell r="AN14">
            <v>457.8</v>
          </cell>
          <cell r="AO14">
            <v>576.5</v>
          </cell>
          <cell r="AP14">
            <v>438.2</v>
          </cell>
          <cell r="AQ14">
            <v>476.7</v>
          </cell>
          <cell r="AR14">
            <v>38.5</v>
          </cell>
          <cell r="AS14">
            <v>476.7</v>
          </cell>
          <cell r="AT14">
            <v>480</v>
          </cell>
        </row>
        <row r="15">
          <cell r="B15">
            <v>41005</v>
          </cell>
          <cell r="C15" t="str">
            <v>Ciencias de la Vida</v>
          </cell>
          <cell r="D15" t="str">
            <v>Santiago</v>
          </cell>
          <cell r="E15" t="str">
            <v>Presencial</v>
          </cell>
          <cell r="F15" t="str">
            <v>UNAB19900</v>
          </cell>
          <cell r="G15" t="str">
            <v>REP</v>
          </cell>
          <cell r="H15" t="str">
            <v>Bioquímica</v>
          </cell>
          <cell r="I15" t="e">
            <v>#N/A</v>
          </cell>
          <cell r="J15" t="str">
            <v>NO APLICA</v>
          </cell>
          <cell r="K15">
            <v>600</v>
          </cell>
          <cell r="L15" t="str">
            <v>Mantener</v>
          </cell>
          <cell r="M15">
            <v>600</v>
          </cell>
          <cell r="N15">
            <v>1</v>
          </cell>
          <cell r="O15" t="str">
            <v>MANTENER</v>
          </cell>
          <cell r="P15">
            <v>0.2</v>
          </cell>
          <cell r="Q15">
            <v>0.3</v>
          </cell>
          <cell r="R15">
            <v>0.1</v>
          </cell>
          <cell r="S15">
            <v>0.2</v>
          </cell>
          <cell r="T15" t="str">
            <v>-</v>
          </cell>
          <cell r="U15" t="str">
            <v>-</v>
          </cell>
          <cell r="V15">
            <v>0.2</v>
          </cell>
          <cell r="W15">
            <v>0</v>
          </cell>
          <cell r="X15">
            <v>458</v>
          </cell>
          <cell r="Y15" t="str">
            <v>SI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10</v>
          </cell>
          <cell r="AG15">
            <v>1</v>
          </cell>
          <cell r="AH15">
            <v>2</v>
          </cell>
          <cell r="AI15">
            <v>3</v>
          </cell>
          <cell r="AJ15">
            <v>0</v>
          </cell>
          <cell r="AK15">
            <v>-4</v>
          </cell>
          <cell r="AL15">
            <v>-7</v>
          </cell>
          <cell r="AM15">
            <v>9</v>
          </cell>
          <cell r="AN15">
            <v>552.6</v>
          </cell>
          <cell r="AO15">
            <v>538.4</v>
          </cell>
          <cell r="AP15">
            <v>459.3</v>
          </cell>
          <cell r="AQ15">
            <v>504.4</v>
          </cell>
          <cell r="AR15">
            <v>45.099999999999966</v>
          </cell>
          <cell r="AS15">
            <v>504.4</v>
          </cell>
          <cell r="AT15">
            <v>500</v>
          </cell>
        </row>
        <row r="16">
          <cell r="B16">
            <v>41222</v>
          </cell>
          <cell r="C16" t="str">
            <v>International College</v>
          </cell>
          <cell r="D16" t="str">
            <v>Santiago</v>
          </cell>
          <cell r="E16" t="str">
            <v>Presencial</v>
          </cell>
          <cell r="F16" t="str">
            <v>UNAB17201</v>
          </cell>
          <cell r="G16" t="str">
            <v>CAS</v>
          </cell>
          <cell r="H16" t="str">
            <v>Computer Science Engineering</v>
          </cell>
          <cell r="I16" t="str">
            <v>92 - International College</v>
          </cell>
          <cell r="J16" t="str">
            <v>NO APLICA</v>
          </cell>
          <cell r="K16">
            <v>550</v>
          </cell>
          <cell r="L16" t="str">
            <v>Mantener</v>
          </cell>
          <cell r="M16">
            <v>550</v>
          </cell>
          <cell r="N16">
            <v>1</v>
          </cell>
          <cell r="O16" t="str">
            <v>MANTENER</v>
          </cell>
          <cell r="P16">
            <v>0.3</v>
          </cell>
          <cell r="Q16">
            <v>0.1</v>
          </cell>
          <cell r="R16">
            <v>0.1</v>
          </cell>
          <cell r="S16">
            <v>0.35</v>
          </cell>
          <cell r="T16">
            <v>0.05</v>
          </cell>
          <cell r="U16" t="str">
            <v>-</v>
          </cell>
          <cell r="V16">
            <v>0.1</v>
          </cell>
          <cell r="W16">
            <v>0</v>
          </cell>
          <cell r="X16">
            <v>458</v>
          </cell>
          <cell r="Y16" t="str">
            <v>SI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585.54999999999995</v>
          </cell>
          <cell r="AR16">
            <v>585.54999999999995</v>
          </cell>
          <cell r="AS16">
            <v>585.54999999999995</v>
          </cell>
          <cell r="AT16">
            <v>500</v>
          </cell>
        </row>
        <row r="17">
          <cell r="B17">
            <v>41027</v>
          </cell>
          <cell r="C17" t="str">
            <v>Economia y Negocios</v>
          </cell>
          <cell r="D17" t="str">
            <v>Santiago</v>
          </cell>
          <cell r="E17" t="str">
            <v>Presencial</v>
          </cell>
          <cell r="F17" t="str">
            <v>UNAB11700</v>
          </cell>
          <cell r="G17" t="str">
            <v>LNS</v>
          </cell>
          <cell r="H17" t="str">
            <v>Contador Auditor</v>
          </cell>
          <cell r="I17" t="e">
            <v>#N/A</v>
          </cell>
          <cell r="J17" t="str">
            <v>NO APLICA</v>
          </cell>
          <cell r="K17">
            <v>600</v>
          </cell>
          <cell r="L17" t="str">
            <v>550↓</v>
          </cell>
          <cell r="M17">
            <v>550</v>
          </cell>
          <cell r="N17">
            <v>1</v>
          </cell>
          <cell r="O17" t="str">
            <v>MANTENER</v>
          </cell>
          <cell r="P17">
            <v>0.1</v>
          </cell>
          <cell r="Q17">
            <v>0.4</v>
          </cell>
          <cell r="R17">
            <v>0.1</v>
          </cell>
          <cell r="S17">
            <v>0.3</v>
          </cell>
          <cell r="T17" t="str">
            <v>-</v>
          </cell>
          <cell r="U17">
            <v>0.1</v>
          </cell>
          <cell r="V17">
            <v>0.1</v>
          </cell>
          <cell r="W17">
            <v>0</v>
          </cell>
          <cell r="X17">
            <v>458</v>
          </cell>
          <cell r="Y17" t="str">
            <v>SI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2</v>
          </cell>
          <cell r="AI17">
            <v>3</v>
          </cell>
          <cell r="AJ17">
            <v>0</v>
          </cell>
          <cell r="AK17">
            <v>13</v>
          </cell>
          <cell r="AL17">
            <v>10</v>
          </cell>
          <cell r="AM17">
            <v>15</v>
          </cell>
          <cell r="AN17">
            <v>407.8</v>
          </cell>
          <cell r="AO17">
            <v>500.8</v>
          </cell>
          <cell r="AP17">
            <v>501.5</v>
          </cell>
          <cell r="AQ17">
            <v>422.8</v>
          </cell>
          <cell r="AR17">
            <v>-78.699999999999989</v>
          </cell>
          <cell r="AS17">
            <v>422.8</v>
          </cell>
          <cell r="AT17">
            <v>450</v>
          </cell>
        </row>
        <row r="18">
          <cell r="B18">
            <v>41075</v>
          </cell>
          <cell r="C18" t="str">
            <v>Economia y Negocios</v>
          </cell>
          <cell r="D18" t="str">
            <v>Viña</v>
          </cell>
          <cell r="E18" t="str">
            <v>Presencial</v>
          </cell>
          <cell r="F18" t="str">
            <v>UNAB11700</v>
          </cell>
          <cell r="G18" t="str">
            <v>VIN</v>
          </cell>
          <cell r="H18" t="str">
            <v>Contador Auditor</v>
          </cell>
          <cell r="I18" t="e">
            <v>#N/A</v>
          </cell>
          <cell r="J18" t="str">
            <v>NO APLICA</v>
          </cell>
          <cell r="K18">
            <v>600</v>
          </cell>
          <cell r="L18" t="str">
            <v>550↓</v>
          </cell>
          <cell r="M18">
            <v>550</v>
          </cell>
          <cell r="N18">
            <v>1</v>
          </cell>
          <cell r="O18" t="str">
            <v>MANTENER</v>
          </cell>
          <cell r="P18">
            <v>0.1</v>
          </cell>
          <cell r="Q18">
            <v>0.4</v>
          </cell>
          <cell r="R18">
            <v>0.1</v>
          </cell>
          <cell r="S18">
            <v>0.3</v>
          </cell>
          <cell r="T18" t="str">
            <v>-</v>
          </cell>
          <cell r="U18">
            <v>0.1</v>
          </cell>
          <cell r="V18">
            <v>0.1</v>
          </cell>
          <cell r="W18">
            <v>0</v>
          </cell>
          <cell r="X18">
            <v>458</v>
          </cell>
          <cell r="Y18" t="str">
            <v>SI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2</v>
          </cell>
          <cell r="AI18">
            <v>3</v>
          </cell>
          <cell r="AJ18">
            <v>0</v>
          </cell>
          <cell r="AK18">
            <v>3</v>
          </cell>
          <cell r="AL18">
            <v>0</v>
          </cell>
          <cell r="AM18">
            <v>5</v>
          </cell>
          <cell r="AN18">
            <v>434.2</v>
          </cell>
          <cell r="AO18">
            <v>473</v>
          </cell>
          <cell r="AP18">
            <v>393.4</v>
          </cell>
          <cell r="AQ18">
            <v>499.8</v>
          </cell>
          <cell r="AR18">
            <v>106.40000000000003</v>
          </cell>
          <cell r="AS18">
            <v>499.8</v>
          </cell>
          <cell r="AT18">
            <v>450</v>
          </cell>
        </row>
        <row r="19">
          <cell r="B19">
            <v>41175</v>
          </cell>
          <cell r="C19" t="str">
            <v>Economia y Negocios</v>
          </cell>
          <cell r="D19" t="str">
            <v>Santiago</v>
          </cell>
          <cell r="E19" t="str">
            <v>Semipresencial</v>
          </cell>
          <cell r="F19" t="str">
            <v>UNAB21700</v>
          </cell>
          <cell r="G19" t="str">
            <v>LNS</v>
          </cell>
          <cell r="H19" t="str">
            <v>Contador Auditor (Vespertino)</v>
          </cell>
          <cell r="I19" t="e">
            <v>#N/A</v>
          </cell>
          <cell r="J19" t="str">
            <v>NO APLICA</v>
          </cell>
          <cell r="K19">
            <v>500</v>
          </cell>
          <cell r="L19" t="str">
            <v>Mantener</v>
          </cell>
          <cell r="M19">
            <v>550</v>
          </cell>
          <cell r="N19">
            <v>1</v>
          </cell>
          <cell r="O19" t="str">
            <v>MANTENER</v>
          </cell>
          <cell r="P19">
            <v>0.1</v>
          </cell>
          <cell r="Q19">
            <v>0.4</v>
          </cell>
          <cell r="R19">
            <v>0.1</v>
          </cell>
          <cell r="S19">
            <v>0.3</v>
          </cell>
          <cell r="T19" t="str">
            <v>-</v>
          </cell>
          <cell r="U19">
            <v>0.1</v>
          </cell>
          <cell r="V19">
            <v>0.1</v>
          </cell>
          <cell r="W19">
            <v>0</v>
          </cell>
          <cell r="X19">
            <v>458</v>
          </cell>
          <cell r="Y19" t="str">
            <v>NO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2</v>
          </cell>
          <cell r="AI19">
            <v>3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499.2</v>
          </cell>
          <cell r="AO19">
            <v>470.7</v>
          </cell>
          <cell r="AP19">
            <v>0</v>
          </cell>
          <cell r="AQ19">
            <v>450</v>
          </cell>
          <cell r="AR19">
            <v>450</v>
          </cell>
          <cell r="AS19">
            <v>450</v>
          </cell>
          <cell r="AT19">
            <v>450</v>
          </cell>
        </row>
        <row r="20">
          <cell r="B20">
            <v>41021</v>
          </cell>
          <cell r="C20" t="str">
            <v>Derecho</v>
          </cell>
          <cell r="D20" t="str">
            <v>Santiago</v>
          </cell>
          <cell r="E20" t="str">
            <v>Presencial</v>
          </cell>
          <cell r="F20" t="str">
            <v>UNAB11200</v>
          </cell>
          <cell r="G20" t="str">
            <v>BEL</v>
          </cell>
          <cell r="H20" t="str">
            <v>Derecho</v>
          </cell>
          <cell r="I20" t="e">
            <v>#N/A</v>
          </cell>
          <cell r="J20" t="str">
            <v>NO APLICA</v>
          </cell>
          <cell r="K20">
            <v>550</v>
          </cell>
          <cell r="L20" t="str">
            <v>Mantener</v>
          </cell>
          <cell r="M20">
            <v>550</v>
          </cell>
          <cell r="N20">
            <v>1</v>
          </cell>
          <cell r="O20" t="str">
            <v>MANTENER</v>
          </cell>
          <cell r="P20">
            <v>0.2</v>
          </cell>
          <cell r="Q20">
            <v>0.3</v>
          </cell>
          <cell r="R20">
            <v>0.3</v>
          </cell>
          <cell r="S20">
            <v>0.1</v>
          </cell>
          <cell r="T20" t="str">
            <v>-</v>
          </cell>
          <cell r="U20">
            <v>0.1</v>
          </cell>
          <cell r="V20" t="str">
            <v>-</v>
          </cell>
          <cell r="W20">
            <v>0</v>
          </cell>
          <cell r="X20">
            <v>458</v>
          </cell>
          <cell r="Y20" t="str">
            <v>SI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5</v>
          </cell>
          <cell r="AH20">
            <v>2</v>
          </cell>
          <cell r="AI20">
            <v>3</v>
          </cell>
          <cell r="AJ20">
            <v>0</v>
          </cell>
          <cell r="AK20">
            <v>46</v>
          </cell>
          <cell r="AL20">
            <v>43</v>
          </cell>
          <cell r="AM20">
            <v>53</v>
          </cell>
          <cell r="AN20">
            <v>506.1</v>
          </cell>
          <cell r="AO20">
            <v>500.9</v>
          </cell>
          <cell r="AP20">
            <v>388.4</v>
          </cell>
          <cell r="AQ20">
            <v>452.9</v>
          </cell>
          <cell r="AR20">
            <v>64.5</v>
          </cell>
          <cell r="AS20">
            <v>452.9</v>
          </cell>
          <cell r="AT20">
            <v>450</v>
          </cell>
        </row>
        <row r="21">
          <cell r="B21">
            <v>41203</v>
          </cell>
          <cell r="C21" t="str">
            <v>Derecho</v>
          </cell>
          <cell r="D21" t="str">
            <v>Santiago</v>
          </cell>
          <cell r="E21" t="str">
            <v>Presencial</v>
          </cell>
          <cell r="F21" t="str">
            <v>UNAB11200</v>
          </cell>
          <cell r="G21" t="str">
            <v>CAS</v>
          </cell>
          <cell r="H21" t="str">
            <v>Derecho</v>
          </cell>
          <cell r="I21" t="e">
            <v>#N/A</v>
          </cell>
          <cell r="J21" t="str">
            <v>NO APLICA</v>
          </cell>
          <cell r="K21">
            <v>550</v>
          </cell>
          <cell r="L21" t="str">
            <v>Mantener</v>
          </cell>
          <cell r="M21">
            <v>550</v>
          </cell>
          <cell r="N21">
            <v>1</v>
          </cell>
          <cell r="O21" t="str">
            <v>MANTENER</v>
          </cell>
          <cell r="P21">
            <v>0.2</v>
          </cell>
          <cell r="Q21">
            <v>0.3</v>
          </cell>
          <cell r="R21">
            <v>0.3</v>
          </cell>
          <cell r="S21">
            <v>0.1</v>
          </cell>
          <cell r="T21" t="str">
            <v>-</v>
          </cell>
          <cell r="U21">
            <v>0.1</v>
          </cell>
          <cell r="V21" t="str">
            <v>-</v>
          </cell>
          <cell r="W21">
            <v>0</v>
          </cell>
          <cell r="X21">
            <v>458</v>
          </cell>
          <cell r="Y21" t="str">
            <v>SI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5</v>
          </cell>
          <cell r="AH21">
            <v>2</v>
          </cell>
          <cell r="AI21">
            <v>3</v>
          </cell>
          <cell r="AJ21">
            <v>0</v>
          </cell>
          <cell r="AK21">
            <v>3</v>
          </cell>
          <cell r="AL21">
            <v>0</v>
          </cell>
          <cell r="AM21">
            <v>10</v>
          </cell>
          <cell r="AN21">
            <v>578.6</v>
          </cell>
          <cell r="AO21">
            <v>410</v>
          </cell>
          <cell r="AP21">
            <v>601.70000000000005</v>
          </cell>
          <cell r="AQ21">
            <v>575.1</v>
          </cell>
          <cell r="AR21">
            <v>-26.600000000000023</v>
          </cell>
          <cell r="AS21">
            <v>493.6</v>
          </cell>
          <cell r="AT21">
            <v>490</v>
          </cell>
        </row>
        <row r="22">
          <cell r="B22">
            <v>41106</v>
          </cell>
          <cell r="C22" t="str">
            <v>Derecho</v>
          </cell>
          <cell r="D22" t="str">
            <v xml:space="preserve">Concepción </v>
          </cell>
          <cell r="E22" t="str">
            <v>Presencial</v>
          </cell>
          <cell r="F22" t="str">
            <v>UNAB11200</v>
          </cell>
          <cell r="G22" t="str">
            <v>CON</v>
          </cell>
          <cell r="H22" t="str">
            <v>Derecho</v>
          </cell>
          <cell r="I22" t="e">
            <v>#N/A</v>
          </cell>
          <cell r="J22" t="str">
            <v>NO APLICA</v>
          </cell>
          <cell r="K22">
            <v>550</v>
          </cell>
          <cell r="L22" t="str">
            <v>Mantener</v>
          </cell>
          <cell r="M22">
            <v>550</v>
          </cell>
          <cell r="N22">
            <v>1</v>
          </cell>
          <cell r="O22" t="str">
            <v>MANTENER</v>
          </cell>
          <cell r="P22">
            <v>0.2</v>
          </cell>
          <cell r="Q22">
            <v>0.3</v>
          </cell>
          <cell r="R22">
            <v>0.3</v>
          </cell>
          <cell r="S22">
            <v>0.1</v>
          </cell>
          <cell r="T22" t="str">
            <v>-</v>
          </cell>
          <cell r="U22">
            <v>0.1</v>
          </cell>
          <cell r="V22" t="str">
            <v>-</v>
          </cell>
          <cell r="W22">
            <v>0</v>
          </cell>
          <cell r="X22">
            <v>458</v>
          </cell>
          <cell r="Y22" t="str">
            <v>SI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5</v>
          </cell>
          <cell r="AH22">
            <v>2</v>
          </cell>
          <cell r="AI22">
            <v>3</v>
          </cell>
          <cell r="AJ22">
            <v>0</v>
          </cell>
          <cell r="AK22">
            <v>13</v>
          </cell>
          <cell r="AL22">
            <v>10</v>
          </cell>
          <cell r="AM22">
            <v>20</v>
          </cell>
          <cell r="AN22">
            <v>583</v>
          </cell>
          <cell r="AO22">
            <v>443.1</v>
          </cell>
          <cell r="AP22">
            <v>451.7</v>
          </cell>
          <cell r="AQ22">
            <v>535.5</v>
          </cell>
          <cell r="AR22">
            <v>83.800000000000011</v>
          </cell>
          <cell r="AS22">
            <v>535.5</v>
          </cell>
          <cell r="AT22">
            <v>450</v>
          </cell>
        </row>
        <row r="23">
          <cell r="B23">
            <v>41071</v>
          </cell>
          <cell r="C23" t="str">
            <v>Derecho</v>
          </cell>
          <cell r="D23" t="str">
            <v>Viña</v>
          </cell>
          <cell r="E23" t="str">
            <v>Presencial</v>
          </cell>
          <cell r="F23" t="str">
            <v>UNAB11200</v>
          </cell>
          <cell r="G23" t="str">
            <v>VIN</v>
          </cell>
          <cell r="H23" t="str">
            <v>Derecho</v>
          </cell>
          <cell r="I23" t="e">
            <v>#N/A</v>
          </cell>
          <cell r="J23" t="str">
            <v>NO APLICA</v>
          </cell>
          <cell r="K23">
            <v>550</v>
          </cell>
          <cell r="L23" t="str">
            <v>Mantener</v>
          </cell>
          <cell r="M23">
            <v>550</v>
          </cell>
          <cell r="N23">
            <v>1</v>
          </cell>
          <cell r="O23" t="str">
            <v>MANTENER</v>
          </cell>
          <cell r="P23">
            <v>0.2</v>
          </cell>
          <cell r="Q23">
            <v>0.3</v>
          </cell>
          <cell r="R23">
            <v>0.3</v>
          </cell>
          <cell r="S23">
            <v>0.1</v>
          </cell>
          <cell r="T23" t="str">
            <v>-</v>
          </cell>
          <cell r="U23">
            <v>0.1</v>
          </cell>
          <cell r="V23" t="str">
            <v>-</v>
          </cell>
          <cell r="W23">
            <v>0</v>
          </cell>
          <cell r="X23">
            <v>458</v>
          </cell>
          <cell r="Y23" t="str">
            <v>SI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5</v>
          </cell>
          <cell r="AH23">
            <v>2</v>
          </cell>
          <cell r="AI23">
            <v>3</v>
          </cell>
          <cell r="AJ23">
            <v>0</v>
          </cell>
          <cell r="AK23">
            <v>18</v>
          </cell>
          <cell r="AL23">
            <v>15</v>
          </cell>
          <cell r="AM23">
            <v>25</v>
          </cell>
          <cell r="AN23">
            <v>554.29999999999995</v>
          </cell>
          <cell r="AO23">
            <v>509.7</v>
          </cell>
          <cell r="AP23">
            <v>333.9</v>
          </cell>
          <cell r="AQ23">
            <v>498.7</v>
          </cell>
          <cell r="AR23">
            <v>164.8</v>
          </cell>
          <cell r="AS23">
            <v>498.7</v>
          </cell>
          <cell r="AT23">
            <v>450</v>
          </cell>
        </row>
        <row r="24">
          <cell r="B24">
            <v>41170</v>
          </cell>
          <cell r="C24" t="str">
            <v>Derecho</v>
          </cell>
          <cell r="D24" t="str">
            <v>Santiago</v>
          </cell>
          <cell r="E24" t="str">
            <v>Presencial</v>
          </cell>
          <cell r="F24" t="str">
            <v>UNAB21200</v>
          </cell>
          <cell r="G24" t="str">
            <v>BEL</v>
          </cell>
          <cell r="H24" t="str">
            <v>Derecho (Vespertino)</v>
          </cell>
          <cell r="I24" t="e">
            <v>#N/A</v>
          </cell>
          <cell r="J24" t="str">
            <v>NO APLICA</v>
          </cell>
          <cell r="K24">
            <v>500</v>
          </cell>
          <cell r="L24" t="str">
            <v>Mantener</v>
          </cell>
          <cell r="M24">
            <v>500</v>
          </cell>
          <cell r="N24">
            <v>1</v>
          </cell>
          <cell r="O24" t="str">
            <v>MANTENER</v>
          </cell>
          <cell r="P24">
            <v>0.2</v>
          </cell>
          <cell r="Q24">
            <v>0.3</v>
          </cell>
          <cell r="R24">
            <v>0.3</v>
          </cell>
          <cell r="S24">
            <v>0.1</v>
          </cell>
          <cell r="T24" t="str">
            <v>-</v>
          </cell>
          <cell r="U24">
            <v>0.1</v>
          </cell>
          <cell r="V24" t="str">
            <v>-</v>
          </cell>
          <cell r="W24">
            <v>0</v>
          </cell>
          <cell r="X24">
            <v>458</v>
          </cell>
          <cell r="Y24" t="str">
            <v>NO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5</v>
          </cell>
          <cell r="AH24">
            <v>2</v>
          </cell>
          <cell r="AI24">
            <v>3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513.1</v>
          </cell>
          <cell r="AO24">
            <v>501.8</v>
          </cell>
          <cell r="AP24">
            <v>472.1</v>
          </cell>
          <cell r="AQ24">
            <v>450</v>
          </cell>
          <cell r="AR24">
            <v>-22.100000000000023</v>
          </cell>
          <cell r="AS24">
            <v>456.2</v>
          </cell>
          <cell r="AT24">
            <v>450</v>
          </cell>
        </row>
        <row r="25">
          <cell r="B25">
            <v>41198</v>
          </cell>
          <cell r="C25" t="str">
            <v>Derecho</v>
          </cell>
          <cell r="D25" t="str">
            <v xml:space="preserve">Concepción </v>
          </cell>
          <cell r="E25" t="str">
            <v>Presencial</v>
          </cell>
          <cell r="F25" t="str">
            <v>UNAB21200</v>
          </cell>
          <cell r="G25" t="str">
            <v>CON</v>
          </cell>
          <cell r="H25" t="str">
            <v>Derecho (Vespertino)</v>
          </cell>
          <cell r="I25" t="e">
            <v>#N/A</v>
          </cell>
          <cell r="J25" t="str">
            <v>NO APLICA</v>
          </cell>
          <cell r="K25">
            <v>500</v>
          </cell>
          <cell r="L25" t="str">
            <v>Mantener</v>
          </cell>
          <cell r="M25">
            <v>500</v>
          </cell>
          <cell r="N25">
            <v>1</v>
          </cell>
          <cell r="O25" t="str">
            <v>MANTENER</v>
          </cell>
          <cell r="P25">
            <v>0.2</v>
          </cell>
          <cell r="Q25">
            <v>0.3</v>
          </cell>
          <cell r="R25">
            <v>0.3</v>
          </cell>
          <cell r="S25">
            <v>0.1</v>
          </cell>
          <cell r="T25" t="str">
            <v>-</v>
          </cell>
          <cell r="U25">
            <v>0.1</v>
          </cell>
          <cell r="V25" t="str">
            <v>-</v>
          </cell>
          <cell r="W25">
            <v>0</v>
          </cell>
          <cell r="X25">
            <v>458</v>
          </cell>
          <cell r="Y25" t="str">
            <v>NO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5</v>
          </cell>
          <cell r="AH25">
            <v>2</v>
          </cell>
          <cell r="AI25">
            <v>3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802.4</v>
          </cell>
          <cell r="AO25">
            <v>561.4</v>
          </cell>
          <cell r="AP25">
            <v>533.29999999999995</v>
          </cell>
          <cell r="AQ25">
            <v>450</v>
          </cell>
          <cell r="AR25">
            <v>-83.299999999999955</v>
          </cell>
          <cell r="AS25">
            <v>435.6</v>
          </cell>
          <cell r="AT25">
            <v>450</v>
          </cell>
        </row>
        <row r="26">
          <cell r="B26">
            <v>41171</v>
          </cell>
          <cell r="C26" t="str">
            <v>Derecho</v>
          </cell>
          <cell r="D26" t="str">
            <v>Viña</v>
          </cell>
          <cell r="E26" t="str">
            <v>Presencial</v>
          </cell>
          <cell r="F26" t="str">
            <v>UNAB21200</v>
          </cell>
          <cell r="G26" t="str">
            <v>VIN</v>
          </cell>
          <cell r="H26" t="str">
            <v>Derecho (Vespertino)</v>
          </cell>
          <cell r="I26" t="e">
            <v>#N/A</v>
          </cell>
          <cell r="J26" t="str">
            <v>NO APLICA</v>
          </cell>
          <cell r="K26">
            <v>500</v>
          </cell>
          <cell r="L26" t="str">
            <v>Mantener</v>
          </cell>
          <cell r="M26">
            <v>500</v>
          </cell>
          <cell r="N26">
            <v>1</v>
          </cell>
          <cell r="O26" t="str">
            <v>MANTENER</v>
          </cell>
          <cell r="P26">
            <v>0.2</v>
          </cell>
          <cell r="Q26">
            <v>0.3</v>
          </cell>
          <cell r="R26">
            <v>0.3</v>
          </cell>
          <cell r="S26">
            <v>0.1</v>
          </cell>
          <cell r="T26" t="str">
            <v>-</v>
          </cell>
          <cell r="U26">
            <v>0.1</v>
          </cell>
          <cell r="V26" t="str">
            <v>-</v>
          </cell>
          <cell r="W26">
            <v>0</v>
          </cell>
          <cell r="X26">
            <v>458</v>
          </cell>
          <cell r="Y26" t="str">
            <v>NO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5</v>
          </cell>
          <cell r="AH26">
            <v>2</v>
          </cell>
          <cell r="AI26">
            <v>3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500.9</v>
          </cell>
          <cell r="AO26">
            <v>488.8</v>
          </cell>
          <cell r="AP26">
            <v>563</v>
          </cell>
          <cell r="AQ26">
            <v>450</v>
          </cell>
          <cell r="AR26">
            <v>-113</v>
          </cell>
          <cell r="AS26">
            <v>568.29999999999995</v>
          </cell>
          <cell r="AT26">
            <v>450</v>
          </cell>
        </row>
        <row r="27">
          <cell r="B27">
            <v>1</v>
          </cell>
          <cell r="C27" t="str">
            <v>Educacion y Humanidades</v>
          </cell>
          <cell r="D27" t="str">
            <v>Santiago</v>
          </cell>
          <cell r="E27" t="str">
            <v>Presencial</v>
          </cell>
          <cell r="F27" t="str">
            <v>UNAB15601</v>
          </cell>
          <cell r="G27" t="str">
            <v>CAS</v>
          </cell>
          <cell r="H27" t="str">
            <v>Diploma de habilidades Laborales</v>
          </cell>
          <cell r="I27" t="str">
            <v>96 - Programa Diploma en Habilidades Laborales</v>
          </cell>
          <cell r="J27" t="str">
            <v>NO APLICA</v>
          </cell>
          <cell r="K27" t="str">
            <v>NO</v>
          </cell>
          <cell r="L27" t="str">
            <v>NO</v>
          </cell>
          <cell r="M27" t="str">
            <v>NO</v>
          </cell>
          <cell r="N27" t="str">
            <v>NO</v>
          </cell>
          <cell r="O27" t="str">
            <v>MANTENER</v>
          </cell>
          <cell r="P27" t="str">
            <v>-</v>
          </cell>
          <cell r="Q27" t="str">
            <v>-</v>
          </cell>
          <cell r="R27" t="str">
            <v>-</v>
          </cell>
          <cell r="S27" t="str">
            <v>-</v>
          </cell>
          <cell r="T27" t="str">
            <v>-</v>
          </cell>
          <cell r="U27" t="str">
            <v>-</v>
          </cell>
          <cell r="V27" t="str">
            <v>-</v>
          </cell>
          <cell r="W27">
            <v>0</v>
          </cell>
          <cell r="X27" t="str">
            <v>-</v>
          </cell>
          <cell r="Y27" t="str">
            <v>NO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 t="str">
            <v>-</v>
          </cell>
          <cell r="AR27" t="str">
            <v>-</v>
          </cell>
          <cell r="AS27" t="str">
            <v>-</v>
          </cell>
          <cell r="AT27" t="str">
            <v>-</v>
          </cell>
        </row>
        <row r="28">
          <cell r="B28">
            <v>2</v>
          </cell>
          <cell r="C28" t="str">
            <v>Educacion y Humanidades</v>
          </cell>
          <cell r="D28" t="str">
            <v xml:space="preserve">Concepción </v>
          </cell>
          <cell r="E28" t="str">
            <v>Presencial</v>
          </cell>
          <cell r="F28" t="str">
            <v>UNAB15601</v>
          </cell>
          <cell r="G28" t="str">
            <v>CON</v>
          </cell>
          <cell r="H28" t="str">
            <v>Diploma de habilidades Laborales</v>
          </cell>
          <cell r="I28" t="str">
            <v>96 - Programa Diploma en Habilidades Laborales</v>
          </cell>
          <cell r="J28" t="str">
            <v>NO APLICA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NO</v>
          </cell>
          <cell r="O28" t="str">
            <v>MANTENER</v>
          </cell>
          <cell r="P28" t="str">
            <v>-</v>
          </cell>
          <cell r="Q28" t="str">
            <v>-</v>
          </cell>
          <cell r="R28" t="str">
            <v>-</v>
          </cell>
          <cell r="S28" t="str">
            <v>-</v>
          </cell>
          <cell r="T28" t="str">
            <v>-</v>
          </cell>
          <cell r="U28" t="str">
            <v>-</v>
          </cell>
          <cell r="V28" t="str">
            <v>-</v>
          </cell>
          <cell r="W28">
            <v>0</v>
          </cell>
          <cell r="X28" t="str">
            <v>-</v>
          </cell>
          <cell r="Y28" t="str">
            <v>NO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 t="str">
            <v>-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 t="str">
            <v>-</v>
          </cell>
          <cell r="AR28" t="str">
            <v>-</v>
          </cell>
          <cell r="AS28" t="str">
            <v>-</v>
          </cell>
          <cell r="AT28" t="str">
            <v>-</v>
          </cell>
        </row>
        <row r="29">
          <cell r="B29">
            <v>3</v>
          </cell>
          <cell r="C29" t="str">
            <v>Educacion y Humanidades</v>
          </cell>
          <cell r="D29" t="str">
            <v>Viña</v>
          </cell>
          <cell r="E29" t="str">
            <v>Presencial</v>
          </cell>
          <cell r="F29" t="str">
            <v>UNAB15601</v>
          </cell>
          <cell r="G29" t="str">
            <v>VIN</v>
          </cell>
          <cell r="H29" t="str">
            <v>Diploma de habilidades Laborales</v>
          </cell>
          <cell r="I29" t="str">
            <v>96 - Programa Diploma en Habilidades Laborales</v>
          </cell>
          <cell r="J29" t="str">
            <v>NO APLICA</v>
          </cell>
          <cell r="K29" t="str">
            <v>NO</v>
          </cell>
          <cell r="L29" t="str">
            <v>NO</v>
          </cell>
          <cell r="M29" t="str">
            <v>NO</v>
          </cell>
          <cell r="N29" t="str">
            <v>NO</v>
          </cell>
          <cell r="O29" t="str">
            <v>MANTENER</v>
          </cell>
          <cell r="P29" t="str">
            <v>-</v>
          </cell>
          <cell r="Q29" t="str">
            <v>-</v>
          </cell>
          <cell r="R29" t="str">
            <v>-</v>
          </cell>
          <cell r="S29" t="str">
            <v>-</v>
          </cell>
          <cell r="T29" t="str">
            <v>-</v>
          </cell>
          <cell r="U29" t="str">
            <v>-</v>
          </cell>
          <cell r="V29" t="str">
            <v>-</v>
          </cell>
          <cell r="W29">
            <v>0</v>
          </cell>
          <cell r="X29" t="str">
            <v>-</v>
          </cell>
          <cell r="Y29" t="str">
            <v>NO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 t="str">
            <v>-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 t="str">
            <v>-</v>
          </cell>
          <cell r="AR29" t="str">
            <v>-</v>
          </cell>
          <cell r="AS29" t="str">
            <v>-</v>
          </cell>
          <cell r="AT29" t="str">
            <v>-</v>
          </cell>
        </row>
        <row r="30">
          <cell r="B30">
            <v>41139</v>
          </cell>
          <cell r="C30" t="str">
            <v>Arquitectura,Arte Diseño y Comunicación</v>
          </cell>
          <cell r="D30" t="str">
            <v>Santiago</v>
          </cell>
          <cell r="E30" t="str">
            <v>Presencial</v>
          </cell>
          <cell r="F30" t="str">
            <v>UNAB19040</v>
          </cell>
          <cell r="G30" t="str">
            <v>CCR</v>
          </cell>
          <cell r="H30" t="str">
            <v>Diseño de Juegos Digitales</v>
          </cell>
          <cell r="I30" t="e">
            <v>#N/A</v>
          </cell>
          <cell r="J30" t="str">
            <v>NO APLICA</v>
          </cell>
          <cell r="K30">
            <v>600</v>
          </cell>
          <cell r="L30" t="str">
            <v>550↓</v>
          </cell>
          <cell r="M30">
            <v>550</v>
          </cell>
          <cell r="N30">
            <v>1</v>
          </cell>
          <cell r="O30" t="str">
            <v>MANTENER</v>
          </cell>
          <cell r="P30">
            <v>0.2</v>
          </cell>
          <cell r="Q30">
            <v>0.1</v>
          </cell>
          <cell r="R30">
            <v>0.3</v>
          </cell>
          <cell r="S30">
            <v>0.2</v>
          </cell>
          <cell r="T30" t="str">
            <v>-</v>
          </cell>
          <cell r="U30">
            <v>0.2</v>
          </cell>
          <cell r="V30">
            <v>0.2</v>
          </cell>
          <cell r="W30">
            <v>0</v>
          </cell>
          <cell r="X30">
            <v>458</v>
          </cell>
          <cell r="Y30" t="str">
            <v>SI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3</v>
          </cell>
          <cell r="AH30">
            <v>2</v>
          </cell>
          <cell r="AI30">
            <v>3</v>
          </cell>
          <cell r="AJ30">
            <v>0</v>
          </cell>
          <cell r="AK30">
            <v>6</v>
          </cell>
          <cell r="AL30">
            <v>3</v>
          </cell>
          <cell r="AM30">
            <v>11</v>
          </cell>
          <cell r="AN30">
            <v>502</v>
          </cell>
          <cell r="AO30">
            <v>416.4</v>
          </cell>
          <cell r="AP30">
            <v>470.4</v>
          </cell>
          <cell r="AQ30">
            <v>478.3</v>
          </cell>
          <cell r="AR30">
            <v>7.9000000000000341</v>
          </cell>
          <cell r="AS30">
            <v>478.3</v>
          </cell>
          <cell r="AT30">
            <v>480</v>
          </cell>
        </row>
        <row r="31">
          <cell r="B31">
            <v>41211</v>
          </cell>
          <cell r="C31" t="str">
            <v>Arquitectura,Arte Diseño y Comunicación</v>
          </cell>
          <cell r="D31" t="str">
            <v xml:space="preserve">Concepción </v>
          </cell>
          <cell r="E31" t="str">
            <v>Presencial</v>
          </cell>
          <cell r="F31" t="str">
            <v>UNAB19040</v>
          </cell>
          <cell r="G31" t="str">
            <v>CON</v>
          </cell>
          <cell r="H31" t="str">
            <v>Diseño de Juegos Digitales</v>
          </cell>
          <cell r="I31" t="e">
            <v>#N/A</v>
          </cell>
          <cell r="J31" t="str">
            <v>NO APLICA</v>
          </cell>
          <cell r="K31">
            <v>600</v>
          </cell>
          <cell r="L31" t="str">
            <v>550↓</v>
          </cell>
          <cell r="M31">
            <v>550</v>
          </cell>
          <cell r="N31">
            <v>1</v>
          </cell>
          <cell r="O31" t="str">
            <v>MANTENER</v>
          </cell>
          <cell r="P31">
            <v>0.2</v>
          </cell>
          <cell r="Q31">
            <v>0.1</v>
          </cell>
          <cell r="R31">
            <v>0.3</v>
          </cell>
          <cell r="S31">
            <v>0.2</v>
          </cell>
          <cell r="T31" t="str">
            <v>-</v>
          </cell>
          <cell r="U31">
            <v>0.2</v>
          </cell>
          <cell r="V31">
            <v>0.2</v>
          </cell>
          <cell r="W31">
            <v>0</v>
          </cell>
          <cell r="X31">
            <v>458</v>
          </cell>
          <cell r="Y31" t="str">
            <v>SI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3</v>
          </cell>
          <cell r="AH31">
            <v>2</v>
          </cell>
          <cell r="AI31">
            <v>3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502</v>
          </cell>
          <cell r="AO31">
            <v>445.2</v>
          </cell>
          <cell r="AP31">
            <v>493.4</v>
          </cell>
          <cell r="AQ31">
            <v>444.6</v>
          </cell>
          <cell r="AR31">
            <v>-48.799999999999955</v>
          </cell>
          <cell r="AS31">
            <v>444.6</v>
          </cell>
          <cell r="AT31">
            <v>450</v>
          </cell>
        </row>
        <row r="32">
          <cell r="B32">
            <v>41138</v>
          </cell>
          <cell r="C32" t="str">
            <v>Arquitectura,Arte Diseño y Comunicación</v>
          </cell>
          <cell r="D32" t="str">
            <v>Santiago</v>
          </cell>
          <cell r="E32" t="str">
            <v>Presencial</v>
          </cell>
          <cell r="F32" t="str">
            <v>UNAB19020</v>
          </cell>
          <cell r="G32" t="str">
            <v>CCR</v>
          </cell>
          <cell r="H32" t="str">
            <v>Diseño de Vestuario y Textil </v>
          </cell>
          <cell r="I32" t="e">
            <v>#N/A</v>
          </cell>
          <cell r="J32" t="str">
            <v>NO APLICA</v>
          </cell>
          <cell r="K32">
            <v>600</v>
          </cell>
          <cell r="L32" t="str">
            <v>550↓</v>
          </cell>
          <cell r="M32">
            <v>550</v>
          </cell>
          <cell r="N32">
            <v>1</v>
          </cell>
          <cell r="O32" t="str">
            <v>MANTENER</v>
          </cell>
          <cell r="P32">
            <v>0.2</v>
          </cell>
          <cell r="Q32">
            <v>0.1</v>
          </cell>
          <cell r="R32">
            <v>0.3</v>
          </cell>
          <cell r="S32">
            <v>0.2</v>
          </cell>
          <cell r="T32" t="str">
            <v>-</v>
          </cell>
          <cell r="U32">
            <v>0.2</v>
          </cell>
          <cell r="V32">
            <v>0.2</v>
          </cell>
          <cell r="W32">
            <v>0</v>
          </cell>
          <cell r="X32">
            <v>458</v>
          </cell>
          <cell r="Y32" t="str">
            <v>SI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3</v>
          </cell>
          <cell r="AH32">
            <v>2</v>
          </cell>
          <cell r="AI32">
            <v>3</v>
          </cell>
          <cell r="AJ32">
            <v>0</v>
          </cell>
          <cell r="AK32">
            <v>10</v>
          </cell>
          <cell r="AL32">
            <v>7</v>
          </cell>
          <cell r="AM32">
            <v>15</v>
          </cell>
          <cell r="AN32">
            <v>571.29999999999995</v>
          </cell>
          <cell r="AO32">
            <v>533.5</v>
          </cell>
          <cell r="AP32">
            <v>421.6</v>
          </cell>
          <cell r="AQ32">
            <v>418.9</v>
          </cell>
          <cell r="AR32">
            <v>-2.7000000000000455</v>
          </cell>
          <cell r="AS32">
            <v>418.9</v>
          </cell>
          <cell r="AT32">
            <v>450</v>
          </cell>
        </row>
        <row r="33">
          <cell r="B33">
            <v>41002</v>
          </cell>
          <cell r="C33" t="str">
            <v>Arquitectura,Arte Diseño y Comunicación</v>
          </cell>
          <cell r="D33" t="str">
            <v>Santiago</v>
          </cell>
          <cell r="E33" t="str">
            <v>Presencial</v>
          </cell>
          <cell r="F33" t="str">
            <v>UNAB19030</v>
          </cell>
          <cell r="G33" t="str">
            <v>CCR</v>
          </cell>
          <cell r="H33" t="str">
            <v>Diseño Gráfico</v>
          </cell>
          <cell r="I33" t="e">
            <v>#N/A</v>
          </cell>
          <cell r="J33" t="str">
            <v>NO APLICA</v>
          </cell>
          <cell r="K33">
            <v>550</v>
          </cell>
          <cell r="L33" t="str">
            <v>Mantener</v>
          </cell>
          <cell r="M33">
            <v>550</v>
          </cell>
          <cell r="N33">
            <v>1</v>
          </cell>
          <cell r="O33" t="str">
            <v>MANTENER</v>
          </cell>
          <cell r="P33">
            <v>0.2</v>
          </cell>
          <cell r="Q33">
            <v>0.1</v>
          </cell>
          <cell r="R33">
            <v>0.3</v>
          </cell>
          <cell r="S33">
            <v>0.2</v>
          </cell>
          <cell r="T33" t="str">
            <v>-</v>
          </cell>
          <cell r="U33">
            <v>0.2</v>
          </cell>
          <cell r="V33">
            <v>0.2</v>
          </cell>
          <cell r="W33">
            <v>0</v>
          </cell>
          <cell r="X33">
            <v>458</v>
          </cell>
          <cell r="Y33" t="str">
            <v>SI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3</v>
          </cell>
          <cell r="AH33">
            <v>2</v>
          </cell>
          <cell r="AI33">
            <v>3</v>
          </cell>
          <cell r="AJ33">
            <v>0</v>
          </cell>
          <cell r="AK33">
            <v>5</v>
          </cell>
          <cell r="AL33">
            <v>2</v>
          </cell>
          <cell r="AM33">
            <v>10</v>
          </cell>
          <cell r="AN33">
            <v>516.4</v>
          </cell>
          <cell r="AO33">
            <v>513</v>
          </cell>
          <cell r="AP33">
            <v>422.5</v>
          </cell>
          <cell r="AQ33">
            <v>522.29999999999995</v>
          </cell>
          <cell r="AR33">
            <v>99.799999999999955</v>
          </cell>
          <cell r="AS33">
            <v>522.29999999999995</v>
          </cell>
          <cell r="AT33">
            <v>520</v>
          </cell>
        </row>
        <row r="34">
          <cell r="B34">
            <v>41037</v>
          </cell>
          <cell r="C34" t="str">
            <v>Educacion y Humanidades</v>
          </cell>
          <cell r="D34" t="str">
            <v>Santiago</v>
          </cell>
          <cell r="E34" t="str">
            <v>Presencial</v>
          </cell>
          <cell r="F34" t="str">
            <v>UNAB13500</v>
          </cell>
          <cell r="G34" t="str">
            <v>CAS</v>
          </cell>
          <cell r="H34" t="str">
            <v>Educación Parvularia</v>
          </cell>
          <cell r="I34" t="str">
            <v>94 - Escuela de Formación Docente</v>
          </cell>
          <cell r="J34" t="str">
            <v>NO APLICA</v>
          </cell>
          <cell r="K34" t="str">
            <v>NO</v>
          </cell>
          <cell r="L34" t="str">
            <v>NO</v>
          </cell>
          <cell r="M34" t="str">
            <v>NO</v>
          </cell>
          <cell r="N34" t="str">
            <v>NO</v>
          </cell>
          <cell r="O34" t="str">
            <v>MANTENER</v>
          </cell>
          <cell r="P34">
            <v>0.2</v>
          </cell>
          <cell r="Q34">
            <v>0.3</v>
          </cell>
          <cell r="R34">
            <v>0.1</v>
          </cell>
          <cell r="S34">
            <v>0.3</v>
          </cell>
          <cell r="T34" t="str">
            <v>-</v>
          </cell>
          <cell r="U34">
            <v>0.1</v>
          </cell>
          <cell r="V34">
            <v>0.1</v>
          </cell>
          <cell r="W34">
            <v>0</v>
          </cell>
          <cell r="X34">
            <v>528</v>
          </cell>
          <cell r="Y34" t="str">
            <v>SI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 t="str">
            <v>Ley Educacion</v>
          </cell>
          <cell r="AI34">
            <v>0</v>
          </cell>
          <cell r="AJ34">
            <v>0</v>
          </cell>
          <cell r="AK34" t="e">
            <v>#VALUE!</v>
          </cell>
          <cell r="AL34" t="e">
            <v>#VALUE!</v>
          </cell>
          <cell r="AM34">
            <v>3</v>
          </cell>
          <cell r="AN34">
            <v>441.6</v>
          </cell>
          <cell r="AO34">
            <v>469.3</v>
          </cell>
          <cell r="AP34">
            <v>425.1</v>
          </cell>
          <cell r="AQ34">
            <v>464.5</v>
          </cell>
          <cell r="AR34">
            <v>39.399999999999977</v>
          </cell>
          <cell r="AS34">
            <v>464.5</v>
          </cell>
          <cell r="AT34">
            <v>568</v>
          </cell>
        </row>
        <row r="35">
          <cell r="B35">
            <v>41082</v>
          </cell>
          <cell r="C35" t="str">
            <v>Educacion y Humanidades</v>
          </cell>
          <cell r="D35" t="str">
            <v>Viña</v>
          </cell>
          <cell r="E35" t="str">
            <v>Presencial</v>
          </cell>
          <cell r="F35" t="str">
            <v>UNAB13500</v>
          </cell>
          <cell r="G35" t="str">
            <v>VIN</v>
          </cell>
          <cell r="H35" t="str">
            <v>Educación Parvularia</v>
          </cell>
          <cell r="I35" t="str">
            <v>94 - Escuela de Formación Docente</v>
          </cell>
          <cell r="J35" t="str">
            <v>NO APLICA</v>
          </cell>
          <cell r="K35" t="str">
            <v>NO</v>
          </cell>
          <cell r="L35" t="str">
            <v>NO</v>
          </cell>
          <cell r="M35" t="str">
            <v>NO</v>
          </cell>
          <cell r="N35" t="str">
            <v>NO</v>
          </cell>
          <cell r="O35" t="str">
            <v>MANTENER</v>
          </cell>
          <cell r="P35">
            <v>0.2</v>
          </cell>
          <cell r="Q35">
            <v>0.3</v>
          </cell>
          <cell r="R35">
            <v>0.1</v>
          </cell>
          <cell r="S35">
            <v>0.3</v>
          </cell>
          <cell r="T35" t="str">
            <v>-</v>
          </cell>
          <cell r="U35">
            <v>0.1</v>
          </cell>
          <cell r="V35">
            <v>0.1</v>
          </cell>
          <cell r="W35">
            <v>0</v>
          </cell>
          <cell r="X35">
            <v>528</v>
          </cell>
          <cell r="Y35" t="str">
            <v>SI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 t="str">
            <v>Ley Educacion</v>
          </cell>
          <cell r="AI35">
            <v>0</v>
          </cell>
          <cell r="AJ35">
            <v>0</v>
          </cell>
          <cell r="AK35" t="e">
            <v>#VALUE!</v>
          </cell>
          <cell r="AL35" t="e">
            <v>#VALUE!</v>
          </cell>
          <cell r="AM35">
            <v>2</v>
          </cell>
          <cell r="AN35">
            <v>480.4</v>
          </cell>
          <cell r="AO35">
            <v>471.8</v>
          </cell>
          <cell r="AP35">
            <v>436.7</v>
          </cell>
          <cell r="AQ35">
            <v>485.2</v>
          </cell>
          <cell r="AR35">
            <v>48.5</v>
          </cell>
          <cell r="AS35">
            <v>485.2</v>
          </cell>
          <cell r="AT35">
            <v>568</v>
          </cell>
        </row>
        <row r="36">
          <cell r="B36">
            <v>41182</v>
          </cell>
          <cell r="C36" t="str">
            <v>Educacion y Humanidades</v>
          </cell>
          <cell r="D36" t="str">
            <v>Santiago</v>
          </cell>
          <cell r="E36" t="str">
            <v>Presencial</v>
          </cell>
          <cell r="F36" t="str">
            <v>UNAB23500</v>
          </cell>
          <cell r="G36" t="str">
            <v>REP</v>
          </cell>
          <cell r="H36" t="str">
            <v>Educación Parvularia (Vespertino)</v>
          </cell>
          <cell r="I36" t="str">
            <v>94 - Escuela de Formación Docente</v>
          </cell>
          <cell r="J36" t="str">
            <v>NO APLICA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NO</v>
          </cell>
          <cell r="O36" t="str">
            <v>P.CIERRE</v>
          </cell>
          <cell r="P36">
            <v>0.2</v>
          </cell>
          <cell r="Q36">
            <v>0.3</v>
          </cell>
          <cell r="R36">
            <v>0.1</v>
          </cell>
          <cell r="S36">
            <v>0.3</v>
          </cell>
          <cell r="T36" t="str">
            <v>-</v>
          </cell>
          <cell r="U36">
            <v>0.1</v>
          </cell>
          <cell r="V36">
            <v>0.1</v>
          </cell>
          <cell r="W36">
            <v>0</v>
          </cell>
          <cell r="X36">
            <v>528</v>
          </cell>
          <cell r="Y36" t="str">
            <v>NO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 t="str">
            <v>-</v>
          </cell>
          <cell r="AG36">
            <v>0</v>
          </cell>
          <cell r="AH36" t="str">
            <v>Ley Educacion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519.4</v>
          </cell>
          <cell r="AO36">
            <v>505</v>
          </cell>
          <cell r="AP36">
            <v>512.5</v>
          </cell>
          <cell r="AQ36" t="str">
            <v>-</v>
          </cell>
          <cell r="AR36" t="str">
            <v>-</v>
          </cell>
          <cell r="AS36" t="str">
            <v>-</v>
          </cell>
          <cell r="AT36" t="str">
            <v>-</v>
          </cell>
        </row>
        <row r="37">
          <cell r="B37">
            <v>41111</v>
          </cell>
          <cell r="C37" t="str">
            <v>Enfermeria</v>
          </cell>
          <cell r="D37" t="str">
            <v xml:space="preserve">Concepción </v>
          </cell>
          <cell r="E37" t="str">
            <v>Presencial</v>
          </cell>
          <cell r="F37" t="str">
            <v>UNAB19400</v>
          </cell>
          <cell r="G37" t="str">
            <v>CON</v>
          </cell>
          <cell r="H37" t="str">
            <v>Enfermería</v>
          </cell>
          <cell r="I37" t="e">
            <v>#N/A</v>
          </cell>
          <cell r="J37" t="str">
            <v>NO APLICA</v>
          </cell>
          <cell r="K37">
            <v>650</v>
          </cell>
          <cell r="L37" t="str">
            <v>550↓↓</v>
          </cell>
          <cell r="M37">
            <v>550</v>
          </cell>
          <cell r="N37" t="str">
            <v>NO</v>
          </cell>
          <cell r="O37" t="str">
            <v>MANTENER</v>
          </cell>
          <cell r="P37">
            <v>0.1</v>
          </cell>
          <cell r="Q37">
            <v>0.3</v>
          </cell>
          <cell r="R37">
            <v>0.2</v>
          </cell>
          <cell r="S37">
            <v>0.2</v>
          </cell>
          <cell r="T37" t="str">
            <v>-</v>
          </cell>
          <cell r="U37" t="str">
            <v>-</v>
          </cell>
          <cell r="V37">
            <v>0.2</v>
          </cell>
          <cell r="W37">
            <v>0</v>
          </cell>
          <cell r="X37">
            <v>458</v>
          </cell>
          <cell r="Y37" t="str">
            <v>SI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15</v>
          </cell>
          <cell r="AG37">
            <v>10</v>
          </cell>
          <cell r="AH37">
            <v>2</v>
          </cell>
          <cell r="AI37">
            <v>3</v>
          </cell>
          <cell r="AJ37">
            <v>0</v>
          </cell>
          <cell r="AK37">
            <v>-20</v>
          </cell>
          <cell r="AL37">
            <v>-23</v>
          </cell>
          <cell r="AM37">
            <v>7</v>
          </cell>
          <cell r="AN37">
            <v>610.70000000000005</v>
          </cell>
          <cell r="AO37">
            <v>585.79999999999995</v>
          </cell>
          <cell r="AP37">
            <v>538.20000000000005</v>
          </cell>
          <cell r="AQ37">
            <v>419.6</v>
          </cell>
          <cell r="AR37">
            <v>-118.60000000000002</v>
          </cell>
          <cell r="AS37">
            <v>419.6</v>
          </cell>
          <cell r="AT37">
            <v>510</v>
          </cell>
        </row>
        <row r="38">
          <cell r="B38">
            <v>41032</v>
          </cell>
          <cell r="C38" t="str">
            <v>Enfermeria</v>
          </cell>
          <cell r="D38" t="str">
            <v>Santiago</v>
          </cell>
          <cell r="E38" t="str">
            <v>Presencial</v>
          </cell>
          <cell r="F38" t="str">
            <v>UNAB19400</v>
          </cell>
          <cell r="G38" t="str">
            <v>REP</v>
          </cell>
          <cell r="H38" t="str">
            <v>Enfermería</v>
          </cell>
          <cell r="I38" t="e">
            <v>#N/A</v>
          </cell>
          <cell r="J38" t="str">
            <v>NO APLICA</v>
          </cell>
          <cell r="K38">
            <v>650</v>
          </cell>
          <cell r="L38" t="str">
            <v>600↓</v>
          </cell>
          <cell r="M38">
            <v>600</v>
          </cell>
          <cell r="N38" t="str">
            <v>NO</v>
          </cell>
          <cell r="O38" t="str">
            <v>MANTENER</v>
          </cell>
          <cell r="P38">
            <v>0.1</v>
          </cell>
          <cell r="Q38">
            <v>0.3</v>
          </cell>
          <cell r="R38">
            <v>0.2</v>
          </cell>
          <cell r="S38">
            <v>0.2</v>
          </cell>
          <cell r="T38" t="str">
            <v>-</v>
          </cell>
          <cell r="U38" t="str">
            <v>-</v>
          </cell>
          <cell r="V38">
            <v>0.2</v>
          </cell>
          <cell r="W38">
            <v>0</v>
          </cell>
          <cell r="X38">
            <v>458</v>
          </cell>
          <cell r="Y38" t="str">
            <v>SI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30</v>
          </cell>
          <cell r="AG38">
            <v>15</v>
          </cell>
          <cell r="AH38">
            <v>2</v>
          </cell>
          <cell r="AI38">
            <v>3</v>
          </cell>
          <cell r="AJ38">
            <v>0</v>
          </cell>
          <cell r="AK38">
            <v>-7</v>
          </cell>
          <cell r="AL38">
            <v>-10</v>
          </cell>
          <cell r="AM38">
            <v>40</v>
          </cell>
          <cell r="AN38">
            <v>640.5</v>
          </cell>
          <cell r="AO38">
            <v>630.4</v>
          </cell>
          <cell r="AP38">
            <v>563.20000000000005</v>
          </cell>
          <cell r="AQ38">
            <v>482.2</v>
          </cell>
          <cell r="AR38">
            <v>-81.000000000000057</v>
          </cell>
          <cell r="AS38">
            <v>438</v>
          </cell>
          <cell r="AT38">
            <v>510</v>
          </cell>
        </row>
        <row r="39">
          <cell r="B39">
            <v>41078</v>
          </cell>
          <cell r="C39" t="str">
            <v>Enfermeria</v>
          </cell>
          <cell r="D39" t="str">
            <v>Viña</v>
          </cell>
          <cell r="E39" t="str">
            <v>Presencial</v>
          </cell>
          <cell r="F39" t="str">
            <v>UNAB19400</v>
          </cell>
          <cell r="G39" t="str">
            <v>VIN</v>
          </cell>
          <cell r="H39" t="str">
            <v>Enfermería</v>
          </cell>
          <cell r="I39" t="e">
            <v>#N/A</v>
          </cell>
          <cell r="J39" t="str">
            <v>NO APLICA</v>
          </cell>
          <cell r="K39">
            <v>650</v>
          </cell>
          <cell r="L39" t="str">
            <v>600↓</v>
          </cell>
          <cell r="M39">
            <v>600</v>
          </cell>
          <cell r="N39" t="str">
            <v>NO</v>
          </cell>
          <cell r="O39" t="str">
            <v>MANTENER</v>
          </cell>
          <cell r="P39">
            <v>0.1</v>
          </cell>
          <cell r="Q39">
            <v>0.3</v>
          </cell>
          <cell r="R39">
            <v>0.2</v>
          </cell>
          <cell r="S39">
            <v>0.2</v>
          </cell>
          <cell r="T39" t="str">
            <v>-</v>
          </cell>
          <cell r="U39" t="str">
            <v>-</v>
          </cell>
          <cell r="V39">
            <v>0.2</v>
          </cell>
          <cell r="W39">
            <v>0</v>
          </cell>
          <cell r="X39">
            <v>458</v>
          </cell>
          <cell r="Y39" t="str">
            <v>SI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20</v>
          </cell>
          <cell r="AG39">
            <v>10</v>
          </cell>
          <cell r="AH39">
            <v>2</v>
          </cell>
          <cell r="AI39">
            <v>3</v>
          </cell>
          <cell r="AJ39">
            <v>0</v>
          </cell>
          <cell r="AK39">
            <v>-17</v>
          </cell>
          <cell r="AL39">
            <v>-20</v>
          </cell>
          <cell r="AM39">
            <v>15</v>
          </cell>
          <cell r="AN39">
            <v>643.79999999999995</v>
          </cell>
          <cell r="AO39">
            <v>640.79999999999995</v>
          </cell>
          <cell r="AP39">
            <v>602.20000000000005</v>
          </cell>
          <cell r="AQ39">
            <v>514.66999999999996</v>
          </cell>
          <cell r="AR39">
            <v>-87.530000000000086</v>
          </cell>
          <cell r="AS39">
            <v>514.66999999999996</v>
          </cell>
          <cell r="AT39">
            <v>510</v>
          </cell>
        </row>
        <row r="40">
          <cell r="B40">
            <v>41216</v>
          </cell>
          <cell r="C40" t="str">
            <v>Enfermeria</v>
          </cell>
          <cell r="D40" t="str">
            <v>Santiago</v>
          </cell>
          <cell r="E40" t="str">
            <v>Presencial</v>
          </cell>
          <cell r="F40" t="str">
            <v>UNAB19400</v>
          </cell>
          <cell r="G40" t="str">
            <v>CAS</v>
          </cell>
          <cell r="H40" t="str">
            <v>Enfermería</v>
          </cell>
          <cell r="I40" t="e">
            <v>#N/A</v>
          </cell>
          <cell r="J40" t="str">
            <v>NO APLICA</v>
          </cell>
          <cell r="K40">
            <v>700</v>
          </cell>
          <cell r="L40" t="str">
            <v>600↓↓</v>
          </cell>
          <cell r="M40">
            <v>600</v>
          </cell>
          <cell r="N40" t="str">
            <v>NO</v>
          </cell>
          <cell r="O40" t="str">
            <v>MANTENER</v>
          </cell>
          <cell r="P40">
            <v>0.1</v>
          </cell>
          <cell r="Q40">
            <v>0.3</v>
          </cell>
          <cell r="R40">
            <v>0.2</v>
          </cell>
          <cell r="S40">
            <v>0.2</v>
          </cell>
          <cell r="T40" t="str">
            <v>-</v>
          </cell>
          <cell r="U40" t="str">
            <v>-</v>
          </cell>
          <cell r="V40">
            <v>0.2</v>
          </cell>
          <cell r="W40">
            <v>0</v>
          </cell>
          <cell r="X40">
            <v>458</v>
          </cell>
          <cell r="Y40" t="str">
            <v>SI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1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612.4</v>
          </cell>
          <cell r="AQ40">
            <v>554.20000000000005</v>
          </cell>
          <cell r="AR40">
            <v>-58.199999999999932</v>
          </cell>
          <cell r="AS40">
            <v>476.8</v>
          </cell>
          <cell r="AT40">
            <v>510</v>
          </cell>
        </row>
        <row r="41">
          <cell r="B41">
            <v>41226</v>
          </cell>
          <cell r="C41" t="str">
            <v>International College</v>
          </cell>
          <cell r="D41" t="str">
            <v>Santiago</v>
          </cell>
          <cell r="E41" t="str">
            <v>Presencial</v>
          </cell>
          <cell r="F41" t="str">
            <v>UNAB17332</v>
          </cell>
          <cell r="G41" t="str">
            <v>CAS</v>
          </cell>
          <cell r="H41" t="str">
            <v>Engineering and Technology Managemen</v>
          </cell>
          <cell r="I41">
            <v>0</v>
          </cell>
          <cell r="J41" t="str">
            <v>NO APLICA</v>
          </cell>
          <cell r="K41" t="str">
            <v>-</v>
          </cell>
          <cell r="L41" t="str">
            <v>NUEVA</v>
          </cell>
          <cell r="M41">
            <v>550</v>
          </cell>
          <cell r="N41">
            <v>1</v>
          </cell>
          <cell r="O41" t="str">
            <v>NUEVA</v>
          </cell>
          <cell r="P41">
            <v>0.3</v>
          </cell>
          <cell r="Q41">
            <v>0.1</v>
          </cell>
          <cell r="R41">
            <v>0.1</v>
          </cell>
          <cell r="S41">
            <v>0.35</v>
          </cell>
          <cell r="T41">
            <v>0.05</v>
          </cell>
          <cell r="U41" t="str">
            <v>-</v>
          </cell>
          <cell r="V41">
            <v>0.1</v>
          </cell>
          <cell r="W41">
            <v>0</v>
          </cell>
          <cell r="X41">
            <v>458</v>
          </cell>
          <cell r="Y41" t="str">
            <v>SI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450</v>
          </cell>
          <cell r="AR41">
            <v>450</v>
          </cell>
          <cell r="AS41">
            <v>450</v>
          </cell>
          <cell r="AT41">
            <v>500</v>
          </cell>
        </row>
        <row r="42">
          <cell r="B42">
            <v>41199</v>
          </cell>
          <cell r="C42" t="str">
            <v>Educacion y Humanidades</v>
          </cell>
          <cell r="D42" t="str">
            <v>Santiago</v>
          </cell>
          <cell r="E42" t="str">
            <v>Presencial</v>
          </cell>
          <cell r="F42" t="str">
            <v>UNAB13700</v>
          </cell>
          <cell r="G42" t="str">
            <v>CAS</v>
          </cell>
          <cell r="H42" t="str">
            <v>Entrenador Deportivo</v>
          </cell>
          <cell r="I42" t="str">
            <v>95 - Escuela de Ciencias del Deporte</v>
          </cell>
          <cell r="J42" t="str">
            <v>NO APLICA</v>
          </cell>
          <cell r="K42">
            <v>550</v>
          </cell>
          <cell r="L42" t="str">
            <v>Mantener</v>
          </cell>
          <cell r="M42">
            <v>550</v>
          </cell>
          <cell r="N42">
            <v>1</v>
          </cell>
          <cell r="O42" t="str">
            <v>MANTENER</v>
          </cell>
          <cell r="P42">
            <v>0.3</v>
          </cell>
          <cell r="Q42">
            <v>0.4</v>
          </cell>
          <cell r="R42">
            <v>0.1</v>
          </cell>
          <cell r="S42">
            <v>0.1</v>
          </cell>
          <cell r="T42" t="str">
            <v>-</v>
          </cell>
          <cell r="U42">
            <v>0.1</v>
          </cell>
          <cell r="V42">
            <v>0.1</v>
          </cell>
          <cell r="W42">
            <v>0</v>
          </cell>
          <cell r="X42">
            <v>458</v>
          </cell>
          <cell r="Y42" t="str">
            <v>SI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2</v>
          </cell>
          <cell r="AI42">
            <v>3</v>
          </cell>
          <cell r="AJ42">
            <v>0</v>
          </cell>
          <cell r="AK42">
            <v>29</v>
          </cell>
          <cell r="AL42">
            <v>26</v>
          </cell>
          <cell r="AM42">
            <v>31</v>
          </cell>
          <cell r="AN42">
            <v>442.5</v>
          </cell>
          <cell r="AO42">
            <v>463.2</v>
          </cell>
          <cell r="AP42">
            <v>405.4</v>
          </cell>
          <cell r="AQ42">
            <v>444</v>
          </cell>
          <cell r="AR42">
            <v>38.600000000000023</v>
          </cell>
          <cell r="AS42">
            <v>402</v>
          </cell>
          <cell r="AT42">
            <v>450</v>
          </cell>
        </row>
        <row r="43">
          <cell r="B43">
            <v>41201</v>
          </cell>
          <cell r="C43" t="str">
            <v>Educacion y Humanidades</v>
          </cell>
          <cell r="D43" t="str">
            <v xml:space="preserve">Concepción </v>
          </cell>
          <cell r="E43" t="str">
            <v>Presencial</v>
          </cell>
          <cell r="F43" t="str">
            <v>UNAB13700</v>
          </cell>
          <cell r="G43" t="str">
            <v>CON</v>
          </cell>
          <cell r="H43" t="str">
            <v>Entrenador Deportivo</v>
          </cell>
          <cell r="I43" t="str">
            <v>95 - Escuela de Ciencias del Deporte</v>
          </cell>
          <cell r="J43" t="str">
            <v>NO APLICA</v>
          </cell>
          <cell r="K43">
            <v>550</v>
          </cell>
          <cell r="L43" t="str">
            <v>Mantener</v>
          </cell>
          <cell r="M43">
            <v>550</v>
          </cell>
          <cell r="N43">
            <v>1</v>
          </cell>
          <cell r="O43" t="str">
            <v>MANTENER</v>
          </cell>
          <cell r="P43">
            <v>0.3</v>
          </cell>
          <cell r="Q43">
            <v>0.4</v>
          </cell>
          <cell r="R43">
            <v>0.1</v>
          </cell>
          <cell r="S43">
            <v>0.1</v>
          </cell>
          <cell r="T43" t="str">
            <v>-</v>
          </cell>
          <cell r="U43">
            <v>0.1</v>
          </cell>
          <cell r="V43">
            <v>0.1</v>
          </cell>
          <cell r="W43">
            <v>0</v>
          </cell>
          <cell r="X43">
            <v>458</v>
          </cell>
          <cell r="Y43" t="str">
            <v>SI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2</v>
          </cell>
          <cell r="AI43">
            <v>3</v>
          </cell>
          <cell r="AJ43">
            <v>0</v>
          </cell>
          <cell r="AK43">
            <v>13</v>
          </cell>
          <cell r="AL43">
            <v>10</v>
          </cell>
          <cell r="AM43">
            <v>15</v>
          </cell>
          <cell r="AN43">
            <v>430.2</v>
          </cell>
          <cell r="AO43">
            <v>400.1</v>
          </cell>
          <cell r="AP43">
            <v>426.3</v>
          </cell>
          <cell r="AQ43">
            <v>438.8</v>
          </cell>
          <cell r="AR43">
            <v>12.5</v>
          </cell>
          <cell r="AS43">
            <v>438.8</v>
          </cell>
          <cell r="AT43">
            <v>450</v>
          </cell>
        </row>
        <row r="44">
          <cell r="B44">
            <v>41200</v>
          </cell>
          <cell r="C44" t="str">
            <v>Educacion y Humanidades</v>
          </cell>
          <cell r="D44" t="str">
            <v>Viña</v>
          </cell>
          <cell r="E44" t="str">
            <v>Presencial</v>
          </cell>
          <cell r="F44" t="str">
            <v>UNAB13700</v>
          </cell>
          <cell r="G44" t="str">
            <v>VIN</v>
          </cell>
          <cell r="H44" t="str">
            <v>Entrenador Deportivo</v>
          </cell>
          <cell r="I44" t="str">
            <v>95 - Escuela de Ciencias del Deporte</v>
          </cell>
          <cell r="J44" t="str">
            <v>NO APLICA</v>
          </cell>
          <cell r="K44">
            <v>550</v>
          </cell>
          <cell r="L44" t="str">
            <v>Mantener</v>
          </cell>
          <cell r="M44">
            <v>550</v>
          </cell>
          <cell r="N44">
            <v>1</v>
          </cell>
          <cell r="O44" t="str">
            <v>MANTENER</v>
          </cell>
          <cell r="P44">
            <v>0.3</v>
          </cell>
          <cell r="Q44">
            <v>0.4</v>
          </cell>
          <cell r="R44">
            <v>0.1</v>
          </cell>
          <cell r="S44">
            <v>0.1</v>
          </cell>
          <cell r="T44" t="str">
            <v>-</v>
          </cell>
          <cell r="U44">
            <v>0.1</v>
          </cell>
          <cell r="V44">
            <v>0.1</v>
          </cell>
          <cell r="W44">
            <v>0</v>
          </cell>
          <cell r="X44">
            <v>458</v>
          </cell>
          <cell r="Y44" t="str">
            <v>SI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2</v>
          </cell>
          <cell r="AI44">
            <v>3</v>
          </cell>
          <cell r="AJ44">
            <v>0</v>
          </cell>
          <cell r="AK44">
            <v>10</v>
          </cell>
          <cell r="AL44">
            <v>7</v>
          </cell>
          <cell r="AM44">
            <v>12</v>
          </cell>
          <cell r="AN44">
            <v>523.79999999999995</v>
          </cell>
          <cell r="AO44">
            <v>364.4</v>
          </cell>
          <cell r="AP44">
            <v>345.5</v>
          </cell>
          <cell r="AQ44">
            <v>443.5</v>
          </cell>
          <cell r="AR44">
            <v>98</v>
          </cell>
          <cell r="AS44">
            <v>443.5</v>
          </cell>
          <cell r="AT44">
            <v>450</v>
          </cell>
        </row>
        <row r="45">
          <cell r="B45">
            <v>41008</v>
          </cell>
          <cell r="C45" t="str">
            <v>Rehabilitación</v>
          </cell>
          <cell r="D45" t="str">
            <v>Santiago</v>
          </cell>
          <cell r="E45" t="str">
            <v>Presencial</v>
          </cell>
          <cell r="F45" t="str">
            <v>UNAB19750</v>
          </cell>
          <cell r="G45" t="str">
            <v>CAS</v>
          </cell>
          <cell r="H45" t="str">
            <v>Fonoaudiología</v>
          </cell>
          <cell r="I45" t="e">
            <v>#N/A</v>
          </cell>
          <cell r="J45" t="str">
            <v>NO APLICA</v>
          </cell>
          <cell r="K45">
            <v>600</v>
          </cell>
          <cell r="L45" t="str">
            <v>550↓</v>
          </cell>
          <cell r="M45">
            <v>550</v>
          </cell>
          <cell r="N45">
            <v>1</v>
          </cell>
          <cell r="O45" t="str">
            <v>MANTENER</v>
          </cell>
          <cell r="P45">
            <v>0.2</v>
          </cell>
          <cell r="Q45">
            <v>0.3</v>
          </cell>
          <cell r="R45">
            <v>0.1</v>
          </cell>
          <cell r="S45">
            <v>0.3</v>
          </cell>
          <cell r="T45" t="str">
            <v>-</v>
          </cell>
          <cell r="U45">
            <v>0.1</v>
          </cell>
          <cell r="V45">
            <v>0.1</v>
          </cell>
          <cell r="W45">
            <v>0</v>
          </cell>
          <cell r="X45">
            <v>458</v>
          </cell>
          <cell r="Y45" t="str">
            <v>SI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10</v>
          </cell>
          <cell r="AG45">
            <v>0</v>
          </cell>
          <cell r="AH45">
            <v>2</v>
          </cell>
          <cell r="AI45">
            <v>3</v>
          </cell>
          <cell r="AJ45">
            <v>0</v>
          </cell>
          <cell r="AK45">
            <v>-4</v>
          </cell>
          <cell r="AL45">
            <v>-7</v>
          </cell>
          <cell r="AM45">
            <v>8</v>
          </cell>
          <cell r="AN45">
            <v>453</v>
          </cell>
          <cell r="AO45">
            <v>422.5</v>
          </cell>
          <cell r="AP45">
            <v>408</v>
          </cell>
          <cell r="AQ45">
            <v>483.3</v>
          </cell>
          <cell r="AR45">
            <v>75.300000000000011</v>
          </cell>
          <cell r="AS45">
            <v>483.3</v>
          </cell>
          <cell r="AT45">
            <v>450</v>
          </cell>
        </row>
        <row r="46">
          <cell r="B46">
            <v>41156</v>
          </cell>
          <cell r="C46" t="str">
            <v>Rehabilitación</v>
          </cell>
          <cell r="D46" t="str">
            <v xml:space="preserve">Concepción </v>
          </cell>
          <cell r="E46" t="str">
            <v>Presencial</v>
          </cell>
          <cell r="F46" t="str">
            <v>UNAB19750</v>
          </cell>
          <cell r="G46" t="str">
            <v>CON</v>
          </cell>
          <cell r="H46" t="str">
            <v>Fonoaudiología</v>
          </cell>
          <cell r="I46" t="e">
            <v>#N/A</v>
          </cell>
          <cell r="J46" t="str">
            <v>NO APLICA</v>
          </cell>
          <cell r="K46">
            <v>600</v>
          </cell>
          <cell r="L46" t="str">
            <v>550↓</v>
          </cell>
          <cell r="M46">
            <v>550</v>
          </cell>
          <cell r="N46">
            <v>1</v>
          </cell>
          <cell r="O46" t="str">
            <v>MANTENER</v>
          </cell>
          <cell r="P46">
            <v>0.2</v>
          </cell>
          <cell r="Q46">
            <v>0.3</v>
          </cell>
          <cell r="R46">
            <v>0.1</v>
          </cell>
          <cell r="S46">
            <v>0.3</v>
          </cell>
          <cell r="T46" t="str">
            <v>-</v>
          </cell>
          <cell r="U46">
            <v>0.1</v>
          </cell>
          <cell r="V46">
            <v>0.1</v>
          </cell>
          <cell r="W46">
            <v>0</v>
          </cell>
          <cell r="X46">
            <v>458</v>
          </cell>
          <cell r="Y46" t="str">
            <v>SI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5</v>
          </cell>
          <cell r="AG46">
            <v>0</v>
          </cell>
          <cell r="AH46">
            <v>2</v>
          </cell>
          <cell r="AI46">
            <v>3</v>
          </cell>
          <cell r="AJ46">
            <v>0</v>
          </cell>
          <cell r="AK46">
            <v>-2</v>
          </cell>
          <cell r="AL46">
            <v>-5</v>
          </cell>
          <cell r="AM46">
            <v>5</v>
          </cell>
          <cell r="AN46">
            <v>483.8</v>
          </cell>
          <cell r="AO46">
            <v>357.7</v>
          </cell>
          <cell r="AP46">
            <v>475.7</v>
          </cell>
          <cell r="AQ46">
            <v>473.8</v>
          </cell>
          <cell r="AR46">
            <v>-1.8999999999999773</v>
          </cell>
          <cell r="AS46">
            <v>447.1</v>
          </cell>
          <cell r="AT46">
            <v>450</v>
          </cell>
        </row>
        <row r="47">
          <cell r="B47">
            <v>41163</v>
          </cell>
          <cell r="C47" t="str">
            <v>Rehabilitación</v>
          </cell>
          <cell r="D47" t="str">
            <v>Viña</v>
          </cell>
          <cell r="E47" t="str">
            <v>Presencial</v>
          </cell>
          <cell r="F47" t="str">
            <v>UNAB19750</v>
          </cell>
          <cell r="G47" t="str">
            <v>VIN</v>
          </cell>
          <cell r="H47" t="str">
            <v>Fonoaudiología</v>
          </cell>
          <cell r="I47" t="e">
            <v>#N/A</v>
          </cell>
          <cell r="J47" t="str">
            <v>NO APLICA</v>
          </cell>
          <cell r="K47">
            <v>600</v>
          </cell>
          <cell r="L47" t="str">
            <v>550↓</v>
          </cell>
          <cell r="M47">
            <v>550</v>
          </cell>
          <cell r="N47">
            <v>1</v>
          </cell>
          <cell r="O47" t="str">
            <v>MANTENER</v>
          </cell>
          <cell r="P47">
            <v>0.2</v>
          </cell>
          <cell r="Q47">
            <v>0.3</v>
          </cell>
          <cell r="R47">
            <v>0.1</v>
          </cell>
          <cell r="S47">
            <v>0.3</v>
          </cell>
          <cell r="T47" t="str">
            <v>-</v>
          </cell>
          <cell r="U47">
            <v>0.1</v>
          </cell>
          <cell r="V47">
            <v>0.1</v>
          </cell>
          <cell r="W47">
            <v>0</v>
          </cell>
          <cell r="X47">
            <v>458</v>
          </cell>
          <cell r="Y47" t="str">
            <v>SI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5</v>
          </cell>
          <cell r="AG47">
            <v>0</v>
          </cell>
          <cell r="AH47">
            <v>2</v>
          </cell>
          <cell r="AI47">
            <v>3</v>
          </cell>
          <cell r="AJ47">
            <v>0</v>
          </cell>
          <cell r="AK47">
            <v>-1</v>
          </cell>
          <cell r="AL47">
            <v>-4</v>
          </cell>
          <cell r="AM47">
            <v>6</v>
          </cell>
          <cell r="AN47">
            <v>467.4</v>
          </cell>
          <cell r="AO47">
            <v>487.7</v>
          </cell>
          <cell r="AP47">
            <v>467.8</v>
          </cell>
          <cell r="AQ47">
            <v>464.2</v>
          </cell>
          <cell r="AR47">
            <v>-3.6000000000000227</v>
          </cell>
          <cell r="AS47">
            <v>464.2</v>
          </cell>
          <cell r="AT47">
            <v>450</v>
          </cell>
        </row>
        <row r="48">
          <cell r="B48">
            <v>41118</v>
          </cell>
          <cell r="C48" t="str">
            <v>Ingeniería</v>
          </cell>
          <cell r="D48" t="str">
            <v xml:space="preserve">Concepción </v>
          </cell>
          <cell r="E48" t="str">
            <v>Presencial</v>
          </cell>
          <cell r="F48" t="str">
            <v>UNAB11350</v>
          </cell>
          <cell r="G48" t="str">
            <v>CON</v>
          </cell>
          <cell r="H48" t="str">
            <v>Geología</v>
          </cell>
          <cell r="I48" t="str">
            <v>73 - Escuela de Ciencias de la Tierra</v>
          </cell>
          <cell r="J48" t="str">
            <v>SI</v>
          </cell>
          <cell r="K48">
            <v>600</v>
          </cell>
          <cell r="L48" t="str">
            <v>550↓</v>
          </cell>
          <cell r="M48">
            <v>550</v>
          </cell>
          <cell r="N48">
            <v>1</v>
          </cell>
          <cell r="O48" t="str">
            <v>MANTENER</v>
          </cell>
          <cell r="P48">
            <v>0.2</v>
          </cell>
          <cell r="Q48">
            <v>0.3</v>
          </cell>
          <cell r="R48">
            <v>0.1</v>
          </cell>
          <cell r="S48">
            <v>0.3</v>
          </cell>
          <cell r="T48" t="str">
            <v>-</v>
          </cell>
          <cell r="U48" t="str">
            <v>-</v>
          </cell>
          <cell r="V48">
            <v>0.1</v>
          </cell>
          <cell r="W48">
            <v>0</v>
          </cell>
          <cell r="X48">
            <v>458</v>
          </cell>
          <cell r="Y48" t="str">
            <v>SI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2</v>
          </cell>
          <cell r="AH48">
            <v>2</v>
          </cell>
          <cell r="AI48">
            <v>3</v>
          </cell>
          <cell r="AJ48">
            <v>0</v>
          </cell>
          <cell r="AK48">
            <v>4</v>
          </cell>
          <cell r="AL48">
            <v>1</v>
          </cell>
          <cell r="AM48">
            <v>8</v>
          </cell>
          <cell r="AN48">
            <v>494.1</v>
          </cell>
          <cell r="AO48">
            <v>469.1</v>
          </cell>
          <cell r="AP48">
            <v>427.7</v>
          </cell>
          <cell r="AQ48">
            <v>510.8</v>
          </cell>
          <cell r="AR48">
            <v>83.100000000000023</v>
          </cell>
          <cell r="AS48">
            <v>510.8</v>
          </cell>
          <cell r="AT48">
            <v>500</v>
          </cell>
        </row>
        <row r="49">
          <cell r="B49">
            <v>41043</v>
          </cell>
          <cell r="C49" t="str">
            <v>Ingeniería</v>
          </cell>
          <cell r="D49" t="str">
            <v>Santiago</v>
          </cell>
          <cell r="E49" t="str">
            <v>Presencial</v>
          </cell>
          <cell r="F49" t="str">
            <v>UNAB11350</v>
          </cell>
          <cell r="G49" t="str">
            <v>REP</v>
          </cell>
          <cell r="H49" t="str">
            <v>Geología</v>
          </cell>
          <cell r="I49" t="str">
            <v>73 - Escuela de Ciencias de la Tierra</v>
          </cell>
          <cell r="J49" t="str">
            <v>SI</v>
          </cell>
          <cell r="K49">
            <v>600</v>
          </cell>
          <cell r="L49" t="str">
            <v>550↓</v>
          </cell>
          <cell r="M49">
            <v>550</v>
          </cell>
          <cell r="N49">
            <v>1</v>
          </cell>
          <cell r="O49" t="str">
            <v>MANTENER</v>
          </cell>
          <cell r="P49">
            <v>0.2</v>
          </cell>
          <cell r="Q49">
            <v>0.3</v>
          </cell>
          <cell r="R49">
            <v>0.1</v>
          </cell>
          <cell r="S49">
            <v>0.3</v>
          </cell>
          <cell r="T49" t="str">
            <v>-</v>
          </cell>
          <cell r="U49" t="str">
            <v>-</v>
          </cell>
          <cell r="V49">
            <v>0.1</v>
          </cell>
          <cell r="W49">
            <v>0</v>
          </cell>
          <cell r="X49">
            <v>458</v>
          </cell>
          <cell r="Y49" t="str">
            <v>SI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5</v>
          </cell>
          <cell r="AG49">
            <v>2</v>
          </cell>
          <cell r="AH49">
            <v>2</v>
          </cell>
          <cell r="AI49">
            <v>3</v>
          </cell>
          <cell r="AJ49">
            <v>0</v>
          </cell>
          <cell r="AK49">
            <v>0</v>
          </cell>
          <cell r="AL49">
            <v>-3</v>
          </cell>
          <cell r="AM49">
            <v>9</v>
          </cell>
          <cell r="AN49">
            <v>449.6</v>
          </cell>
          <cell r="AO49">
            <v>498</v>
          </cell>
          <cell r="AP49">
            <v>460.1</v>
          </cell>
          <cell r="AQ49">
            <v>513</v>
          </cell>
          <cell r="AR49">
            <v>52.899999999999977</v>
          </cell>
          <cell r="AS49">
            <v>513</v>
          </cell>
          <cell r="AT49">
            <v>500</v>
          </cell>
        </row>
        <row r="50">
          <cell r="B50">
            <v>41088</v>
          </cell>
          <cell r="C50" t="str">
            <v>Ingeniería</v>
          </cell>
          <cell r="D50" t="str">
            <v>Viña</v>
          </cell>
          <cell r="E50" t="str">
            <v>Presencial</v>
          </cell>
          <cell r="F50" t="str">
            <v>UNAB11350</v>
          </cell>
          <cell r="G50" t="str">
            <v>VIN</v>
          </cell>
          <cell r="H50" t="str">
            <v>Geología</v>
          </cell>
          <cell r="I50" t="str">
            <v>73 - Escuela de Ciencias de la Tierra</v>
          </cell>
          <cell r="J50" t="str">
            <v>SI</v>
          </cell>
          <cell r="K50">
            <v>600</v>
          </cell>
          <cell r="L50" t="str">
            <v>550↓</v>
          </cell>
          <cell r="M50">
            <v>550</v>
          </cell>
          <cell r="N50">
            <v>1</v>
          </cell>
          <cell r="O50" t="str">
            <v>MANTENER</v>
          </cell>
          <cell r="P50">
            <v>0.2</v>
          </cell>
          <cell r="Q50">
            <v>0.3</v>
          </cell>
          <cell r="R50">
            <v>0.1</v>
          </cell>
          <cell r="S50">
            <v>0.3</v>
          </cell>
          <cell r="T50" t="str">
            <v>-</v>
          </cell>
          <cell r="U50" t="str">
            <v>-</v>
          </cell>
          <cell r="V50">
            <v>0.1</v>
          </cell>
          <cell r="W50">
            <v>0</v>
          </cell>
          <cell r="X50">
            <v>458</v>
          </cell>
          <cell r="Y50" t="str">
            <v>SI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2</v>
          </cell>
          <cell r="AH50">
            <v>2</v>
          </cell>
          <cell r="AI50">
            <v>3</v>
          </cell>
          <cell r="AJ50">
            <v>0</v>
          </cell>
          <cell r="AK50">
            <v>3</v>
          </cell>
          <cell r="AL50">
            <v>0</v>
          </cell>
          <cell r="AM50">
            <v>7</v>
          </cell>
          <cell r="AN50">
            <v>473.6</v>
          </cell>
          <cell r="AO50">
            <v>464.1</v>
          </cell>
          <cell r="AP50">
            <v>457.3</v>
          </cell>
          <cell r="AQ50">
            <v>516</v>
          </cell>
          <cell r="AR50">
            <v>58.699999999999989</v>
          </cell>
          <cell r="AS50">
            <v>516</v>
          </cell>
          <cell r="AT50">
            <v>500</v>
          </cell>
        </row>
        <row r="51">
          <cell r="B51">
            <v>41225</v>
          </cell>
          <cell r="C51" t="str">
            <v>International College</v>
          </cell>
          <cell r="D51" t="str">
            <v>Santiago</v>
          </cell>
          <cell r="E51" t="str">
            <v>Presencial</v>
          </cell>
          <cell r="F51" t="str">
            <v>UNAB17331</v>
          </cell>
          <cell r="G51" t="str">
            <v>CAS</v>
          </cell>
          <cell r="H51" t="str">
            <v xml:space="preserve">Global Management </v>
          </cell>
          <cell r="I51" t="e">
            <v>#N/A</v>
          </cell>
          <cell r="J51" t="str">
            <v>NO APLICA</v>
          </cell>
          <cell r="K51" t="str">
            <v>-</v>
          </cell>
          <cell r="L51" t="str">
            <v>NUEVA</v>
          </cell>
          <cell r="M51">
            <v>550</v>
          </cell>
          <cell r="N51">
            <v>1</v>
          </cell>
          <cell r="O51" t="str">
            <v>NUEVA</v>
          </cell>
          <cell r="P51">
            <v>0.1</v>
          </cell>
          <cell r="Q51">
            <v>0.4</v>
          </cell>
          <cell r="R51">
            <v>0.1</v>
          </cell>
          <cell r="S51">
            <v>0.3</v>
          </cell>
          <cell r="T51" t="str">
            <v>-</v>
          </cell>
          <cell r="U51">
            <v>0.1</v>
          </cell>
          <cell r="V51">
            <v>0.1</v>
          </cell>
          <cell r="W51">
            <v>0</v>
          </cell>
          <cell r="X51">
            <v>458</v>
          </cell>
          <cell r="Y51" t="str">
            <v>SI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450</v>
          </cell>
          <cell r="AR51">
            <v>450</v>
          </cell>
          <cell r="AS51">
            <v>450</v>
          </cell>
          <cell r="AT51">
            <v>500</v>
          </cell>
        </row>
        <row r="52">
          <cell r="B52">
            <v>41024</v>
          </cell>
          <cell r="C52" t="str">
            <v>Ciencias de la Vida</v>
          </cell>
          <cell r="D52" t="str">
            <v>Santiago</v>
          </cell>
          <cell r="E52" t="str">
            <v>Presencial</v>
          </cell>
          <cell r="F52" t="str">
            <v>UNAB17000</v>
          </cell>
          <cell r="G52" t="str">
            <v>REP</v>
          </cell>
          <cell r="H52" t="str">
            <v>Ingeniería Ambiental</v>
          </cell>
          <cell r="I52" t="e">
            <v>#N/A</v>
          </cell>
          <cell r="J52" t="str">
            <v>NO APLICA</v>
          </cell>
          <cell r="K52">
            <v>550</v>
          </cell>
          <cell r="L52" t="str">
            <v>Mantener</v>
          </cell>
          <cell r="M52">
            <v>550</v>
          </cell>
          <cell r="N52">
            <v>1</v>
          </cell>
          <cell r="O52" t="str">
            <v>MANTENER</v>
          </cell>
          <cell r="P52">
            <v>0.2</v>
          </cell>
          <cell r="Q52">
            <v>0.25</v>
          </cell>
          <cell r="R52">
            <v>0.1</v>
          </cell>
          <cell r="S52">
            <v>0.3</v>
          </cell>
          <cell r="T52">
            <v>0.05</v>
          </cell>
          <cell r="U52">
            <v>0.1</v>
          </cell>
          <cell r="V52">
            <v>0.1</v>
          </cell>
          <cell r="W52">
            <v>0</v>
          </cell>
          <cell r="X52">
            <v>458</v>
          </cell>
          <cell r="Y52" t="str">
            <v>SI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10</v>
          </cell>
          <cell r="AG52">
            <v>1</v>
          </cell>
          <cell r="AH52">
            <v>2</v>
          </cell>
          <cell r="AI52">
            <v>3</v>
          </cell>
          <cell r="AJ52">
            <v>0</v>
          </cell>
          <cell r="AK52">
            <v>-5</v>
          </cell>
          <cell r="AL52">
            <v>-8</v>
          </cell>
          <cell r="AM52">
            <v>8</v>
          </cell>
          <cell r="AN52">
            <v>497.9</v>
          </cell>
          <cell r="AO52">
            <v>442.9</v>
          </cell>
          <cell r="AP52">
            <v>488.15</v>
          </cell>
          <cell r="AQ52">
            <v>554.9</v>
          </cell>
          <cell r="AR52">
            <v>66.75</v>
          </cell>
          <cell r="AS52">
            <v>554.9</v>
          </cell>
          <cell r="AT52">
            <v>555</v>
          </cell>
        </row>
        <row r="53">
          <cell r="B53">
            <v>41044</v>
          </cell>
          <cell r="C53" t="str">
            <v>Ingeniería</v>
          </cell>
          <cell r="D53" t="str">
            <v>Santiago</v>
          </cell>
          <cell r="E53" t="str">
            <v>Presencial</v>
          </cell>
          <cell r="F53" t="str">
            <v>UNAB11300</v>
          </cell>
          <cell r="G53" t="str">
            <v>ANT</v>
          </cell>
          <cell r="H53" t="str">
            <v>Ingeniería Civil</v>
          </cell>
          <cell r="I53" t="e">
            <v>#N/A</v>
          </cell>
          <cell r="J53" t="str">
            <v>SI</v>
          </cell>
          <cell r="K53">
            <v>600</v>
          </cell>
          <cell r="L53" t="str">
            <v>Mantener</v>
          </cell>
          <cell r="M53">
            <v>600</v>
          </cell>
          <cell r="N53">
            <v>1</v>
          </cell>
          <cell r="O53" t="str">
            <v>MANTENER</v>
          </cell>
          <cell r="P53">
            <v>0.3</v>
          </cell>
          <cell r="Q53">
            <v>0.15</v>
          </cell>
          <cell r="R53">
            <v>0.1</v>
          </cell>
          <cell r="S53">
            <v>0.3</v>
          </cell>
          <cell r="T53">
            <v>0.05</v>
          </cell>
          <cell r="U53" t="str">
            <v>-</v>
          </cell>
          <cell r="V53">
            <v>0.1</v>
          </cell>
          <cell r="W53">
            <v>0</v>
          </cell>
          <cell r="X53">
            <v>458</v>
          </cell>
          <cell r="Y53" t="str">
            <v>SI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2</v>
          </cell>
          <cell r="AI53">
            <v>3</v>
          </cell>
          <cell r="AJ53">
            <v>0</v>
          </cell>
          <cell r="AK53">
            <v>8</v>
          </cell>
          <cell r="AL53">
            <v>5</v>
          </cell>
          <cell r="AM53">
            <v>10</v>
          </cell>
          <cell r="AN53">
            <v>466.1</v>
          </cell>
          <cell r="AO53">
            <v>450.5</v>
          </cell>
          <cell r="AP53">
            <v>452.6</v>
          </cell>
          <cell r="AQ53">
            <v>449.5</v>
          </cell>
          <cell r="AR53">
            <v>-3.1000000000000227</v>
          </cell>
          <cell r="AS53">
            <v>449.5</v>
          </cell>
          <cell r="AT53">
            <v>500</v>
          </cell>
        </row>
        <row r="54">
          <cell r="B54">
            <v>41227</v>
          </cell>
          <cell r="C54" t="str">
            <v>Ingeniería</v>
          </cell>
          <cell r="D54" t="str">
            <v>Santiago</v>
          </cell>
          <cell r="E54" t="str">
            <v>Presencial</v>
          </cell>
          <cell r="F54" t="str">
            <v>UNAB17355</v>
          </cell>
          <cell r="G54" t="str">
            <v>CAS</v>
          </cell>
          <cell r="H54" t="str">
            <v xml:space="preserve">Ingenieria Civil Biomédica </v>
          </cell>
          <cell r="I54" t="e">
            <v>#N/A</v>
          </cell>
          <cell r="J54" t="str">
            <v>SI</v>
          </cell>
          <cell r="K54" t="str">
            <v>-</v>
          </cell>
          <cell r="L54" t="str">
            <v>NUEVA</v>
          </cell>
          <cell r="M54">
            <v>600</v>
          </cell>
          <cell r="N54">
            <v>1</v>
          </cell>
          <cell r="O54" t="str">
            <v>NUEVA</v>
          </cell>
          <cell r="P54">
            <v>0.25</v>
          </cell>
          <cell r="Q54">
            <v>0.15</v>
          </cell>
          <cell r="R54">
            <v>0.1</v>
          </cell>
          <cell r="S54">
            <v>0.35</v>
          </cell>
          <cell r="T54">
            <v>0.5</v>
          </cell>
          <cell r="U54" t="str">
            <v>-</v>
          </cell>
          <cell r="V54">
            <v>0.1</v>
          </cell>
          <cell r="W54">
            <v>0</v>
          </cell>
          <cell r="X54">
            <v>458</v>
          </cell>
          <cell r="Y54" t="str">
            <v>SI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500</v>
          </cell>
          <cell r="AR54">
            <v>500</v>
          </cell>
          <cell r="AS54">
            <v>500</v>
          </cell>
          <cell r="AT54">
            <v>500</v>
          </cell>
        </row>
        <row r="55">
          <cell r="B55">
            <v>41204</v>
          </cell>
          <cell r="C55" t="str">
            <v>Ingeniería</v>
          </cell>
          <cell r="D55" t="str">
            <v>Santiago</v>
          </cell>
          <cell r="E55" t="str">
            <v>Presencial</v>
          </cell>
          <cell r="F55" t="str">
            <v>UNAB11305</v>
          </cell>
          <cell r="G55" t="str">
            <v>ANT</v>
          </cell>
          <cell r="H55" t="str">
            <v>Ingeniería Civil Eléctrica</v>
          </cell>
          <cell r="I55" t="e">
            <v>#N/A</v>
          </cell>
          <cell r="J55" t="str">
            <v>SI</v>
          </cell>
          <cell r="K55">
            <v>600</v>
          </cell>
          <cell r="L55" t="str">
            <v>Mantener</v>
          </cell>
          <cell r="M55">
            <v>600</v>
          </cell>
          <cell r="N55">
            <v>1</v>
          </cell>
          <cell r="O55" t="str">
            <v>MANTENER</v>
          </cell>
          <cell r="P55">
            <v>0.2</v>
          </cell>
          <cell r="Q55">
            <v>0.25</v>
          </cell>
          <cell r="R55">
            <v>0.1</v>
          </cell>
          <cell r="S55">
            <v>0.3</v>
          </cell>
          <cell r="T55">
            <v>0.05</v>
          </cell>
          <cell r="U55" t="str">
            <v>-</v>
          </cell>
          <cell r="V55">
            <v>0.1</v>
          </cell>
          <cell r="W55">
            <v>0</v>
          </cell>
          <cell r="X55">
            <v>458</v>
          </cell>
          <cell r="Y55" t="str">
            <v>NO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4</v>
          </cell>
          <cell r="AH55">
            <v>2</v>
          </cell>
          <cell r="AI55">
            <v>3</v>
          </cell>
          <cell r="AJ55">
            <v>0</v>
          </cell>
          <cell r="AK55">
            <v>-1</v>
          </cell>
          <cell r="AL55">
            <v>0</v>
          </cell>
          <cell r="AM55">
            <v>5</v>
          </cell>
          <cell r="AN55">
            <v>423.2</v>
          </cell>
          <cell r="AO55">
            <v>548.95000000000005</v>
          </cell>
          <cell r="AP55">
            <v>560</v>
          </cell>
          <cell r="AQ55">
            <v>566.45000000000005</v>
          </cell>
          <cell r="AR55">
            <v>6.4500000000000455</v>
          </cell>
          <cell r="AS55">
            <v>508.3</v>
          </cell>
          <cell r="AT55">
            <v>500</v>
          </cell>
        </row>
        <row r="56">
          <cell r="B56">
            <v>41130</v>
          </cell>
          <cell r="C56" t="str">
            <v>Ingeniería</v>
          </cell>
          <cell r="D56" t="str">
            <v>Santiago</v>
          </cell>
          <cell r="E56" t="str">
            <v>Presencial</v>
          </cell>
          <cell r="F56" t="str">
            <v>UNAB11303</v>
          </cell>
          <cell r="G56" t="str">
            <v>REP</v>
          </cell>
          <cell r="H56" t="str">
            <v>Ingeniería Civil en Minas</v>
          </cell>
          <cell r="I56" t="e">
            <v>#N/A</v>
          </cell>
          <cell r="J56" t="str">
            <v>SI</v>
          </cell>
          <cell r="K56">
            <v>600</v>
          </cell>
          <cell r="L56" t="str">
            <v>Mantener</v>
          </cell>
          <cell r="M56">
            <v>600</v>
          </cell>
          <cell r="N56">
            <v>1</v>
          </cell>
          <cell r="O56" t="str">
            <v>MANTENER</v>
          </cell>
          <cell r="P56">
            <v>0.1</v>
          </cell>
          <cell r="Q56">
            <v>0.35</v>
          </cell>
          <cell r="R56">
            <v>0.1</v>
          </cell>
          <cell r="S56">
            <v>0.3</v>
          </cell>
          <cell r="T56">
            <v>0.05</v>
          </cell>
          <cell r="U56" t="str">
            <v>-</v>
          </cell>
          <cell r="V56">
            <v>0.1</v>
          </cell>
          <cell r="W56">
            <v>0</v>
          </cell>
          <cell r="X56">
            <v>458</v>
          </cell>
          <cell r="Y56" t="str">
            <v>SI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2</v>
          </cell>
          <cell r="AI56">
            <v>3</v>
          </cell>
          <cell r="AJ56">
            <v>0</v>
          </cell>
          <cell r="AK56">
            <v>16</v>
          </cell>
          <cell r="AL56">
            <v>13</v>
          </cell>
          <cell r="AM56">
            <v>18</v>
          </cell>
          <cell r="AN56">
            <v>485.1</v>
          </cell>
          <cell r="AO56">
            <v>423.4</v>
          </cell>
          <cell r="AP56">
            <v>509.5</v>
          </cell>
          <cell r="AQ56">
            <v>553.65</v>
          </cell>
          <cell r="AR56">
            <v>44.149999999999977</v>
          </cell>
          <cell r="AS56">
            <v>429</v>
          </cell>
          <cell r="AT56">
            <v>500</v>
          </cell>
        </row>
        <row r="57">
          <cell r="B57">
            <v>41134</v>
          </cell>
          <cell r="C57" t="str">
            <v>Ingeniería</v>
          </cell>
          <cell r="D57" t="str">
            <v>Viña</v>
          </cell>
          <cell r="E57" t="str">
            <v>Presencial</v>
          </cell>
          <cell r="F57" t="str">
            <v>UNAB11303</v>
          </cell>
          <cell r="G57" t="str">
            <v>VIN</v>
          </cell>
          <cell r="H57" t="str">
            <v>Ingeniería Civil en Minas</v>
          </cell>
          <cell r="I57" t="e">
            <v>#N/A</v>
          </cell>
          <cell r="J57" t="str">
            <v>SI</v>
          </cell>
          <cell r="K57">
            <v>600</v>
          </cell>
          <cell r="L57" t="str">
            <v>Mantener</v>
          </cell>
          <cell r="M57">
            <v>600</v>
          </cell>
          <cell r="N57">
            <v>1</v>
          </cell>
          <cell r="O57" t="str">
            <v>MANTENER</v>
          </cell>
          <cell r="P57">
            <v>0.1</v>
          </cell>
          <cell r="Q57">
            <v>0.35</v>
          </cell>
          <cell r="R57">
            <v>0.1</v>
          </cell>
          <cell r="S57">
            <v>0.3</v>
          </cell>
          <cell r="T57">
            <v>0.05</v>
          </cell>
          <cell r="U57" t="str">
            <v>-</v>
          </cell>
          <cell r="V57">
            <v>0.1</v>
          </cell>
          <cell r="W57">
            <v>0</v>
          </cell>
          <cell r="X57">
            <v>458</v>
          </cell>
          <cell r="Y57" t="str">
            <v>SI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2</v>
          </cell>
          <cell r="AI57">
            <v>3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485.1</v>
          </cell>
          <cell r="AO57">
            <v>455.8</v>
          </cell>
          <cell r="AP57">
            <v>422.05</v>
          </cell>
          <cell r="AQ57">
            <v>486.45</v>
          </cell>
          <cell r="AR57">
            <v>64.399999999999977</v>
          </cell>
          <cell r="AS57">
            <v>478.55</v>
          </cell>
          <cell r="AT57">
            <v>500</v>
          </cell>
        </row>
        <row r="58">
          <cell r="B58">
            <v>41153</v>
          </cell>
          <cell r="C58" t="str">
            <v>Ingeniería</v>
          </cell>
          <cell r="D58" t="str">
            <v xml:space="preserve">Concepción </v>
          </cell>
          <cell r="E58" t="str">
            <v>Presencial</v>
          </cell>
          <cell r="F58" t="str">
            <v>UNAB11303</v>
          </cell>
          <cell r="G58" t="str">
            <v>CON</v>
          </cell>
          <cell r="H58" t="str">
            <v>Ingeniería Civil en Minas</v>
          </cell>
          <cell r="I58" t="e">
            <v>#N/A</v>
          </cell>
          <cell r="J58" t="str">
            <v>SI</v>
          </cell>
          <cell r="K58">
            <v>600</v>
          </cell>
          <cell r="L58" t="str">
            <v>550↓</v>
          </cell>
          <cell r="M58">
            <v>550</v>
          </cell>
          <cell r="N58">
            <v>1</v>
          </cell>
          <cell r="O58" t="str">
            <v>MANTENER</v>
          </cell>
          <cell r="P58">
            <v>0.1</v>
          </cell>
          <cell r="Q58">
            <v>0.35</v>
          </cell>
          <cell r="R58">
            <v>0.1</v>
          </cell>
          <cell r="S58">
            <v>0.3</v>
          </cell>
          <cell r="T58">
            <v>0.05</v>
          </cell>
          <cell r="U58" t="str">
            <v>-</v>
          </cell>
          <cell r="V58">
            <v>0.1</v>
          </cell>
          <cell r="W58">
            <v>0</v>
          </cell>
          <cell r="X58">
            <v>458</v>
          </cell>
          <cell r="Y58" t="str">
            <v>SI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2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392.4</v>
          </cell>
          <cell r="AQ58">
            <v>439.35</v>
          </cell>
          <cell r="AR58">
            <v>46.950000000000045</v>
          </cell>
          <cell r="AS58">
            <v>439.35</v>
          </cell>
          <cell r="AT58">
            <v>500</v>
          </cell>
        </row>
        <row r="59">
          <cell r="B59">
            <v>41046</v>
          </cell>
          <cell r="C59" t="str">
            <v>Ingeniería</v>
          </cell>
          <cell r="D59" t="str">
            <v>Santiago</v>
          </cell>
          <cell r="E59" t="str">
            <v>Presencial</v>
          </cell>
          <cell r="F59" t="str">
            <v>UNAB12100</v>
          </cell>
          <cell r="G59" t="str">
            <v>ANT</v>
          </cell>
          <cell r="H59" t="str">
            <v>Ingeniería Civil Industrial</v>
          </cell>
          <cell r="I59" t="e">
            <v>#N/A</v>
          </cell>
          <cell r="J59" t="str">
            <v>SI</v>
          </cell>
          <cell r="K59">
            <v>600</v>
          </cell>
          <cell r="L59" t="str">
            <v>Mantener</v>
          </cell>
          <cell r="M59">
            <v>600</v>
          </cell>
          <cell r="N59">
            <v>1</v>
          </cell>
          <cell r="O59" t="str">
            <v>MANTENER</v>
          </cell>
          <cell r="P59">
            <v>0.2</v>
          </cell>
          <cell r="Q59">
            <v>0.25</v>
          </cell>
          <cell r="R59">
            <v>0.1</v>
          </cell>
          <cell r="S59">
            <v>0.3</v>
          </cell>
          <cell r="T59">
            <v>0.05</v>
          </cell>
          <cell r="U59" t="str">
            <v>-</v>
          </cell>
          <cell r="V59">
            <v>0.1</v>
          </cell>
          <cell r="W59">
            <v>0</v>
          </cell>
          <cell r="X59">
            <v>458</v>
          </cell>
          <cell r="Y59" t="str">
            <v>SI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5</v>
          </cell>
          <cell r="AG59">
            <v>0</v>
          </cell>
          <cell r="AH59">
            <v>2</v>
          </cell>
          <cell r="AI59">
            <v>3</v>
          </cell>
          <cell r="AJ59">
            <v>0</v>
          </cell>
          <cell r="AK59">
            <v>14</v>
          </cell>
          <cell r="AL59">
            <v>11</v>
          </cell>
          <cell r="AM59">
            <v>21</v>
          </cell>
          <cell r="AN59">
            <v>432.5</v>
          </cell>
          <cell r="AO59">
            <v>421.15</v>
          </cell>
          <cell r="AP59">
            <v>393.3</v>
          </cell>
          <cell r="AQ59">
            <v>456.6</v>
          </cell>
          <cell r="AR59">
            <v>63.300000000000011</v>
          </cell>
          <cell r="AS59">
            <v>456.6</v>
          </cell>
          <cell r="AT59">
            <v>500</v>
          </cell>
        </row>
        <row r="60">
          <cell r="B60">
            <v>41121</v>
          </cell>
          <cell r="C60" t="str">
            <v>Ingeniería</v>
          </cell>
          <cell r="D60" t="str">
            <v xml:space="preserve">Concepción </v>
          </cell>
          <cell r="E60" t="str">
            <v>Presencial</v>
          </cell>
          <cell r="F60" t="str">
            <v>UNAB12100</v>
          </cell>
          <cell r="G60" t="str">
            <v>CON</v>
          </cell>
          <cell r="H60" t="str">
            <v>Ingeniería Civil Industrial</v>
          </cell>
          <cell r="I60" t="e">
            <v>#N/A</v>
          </cell>
          <cell r="J60" t="str">
            <v>SI</v>
          </cell>
          <cell r="K60">
            <v>600</v>
          </cell>
          <cell r="L60" t="str">
            <v>550↓</v>
          </cell>
          <cell r="M60">
            <v>550</v>
          </cell>
          <cell r="N60">
            <v>1</v>
          </cell>
          <cell r="O60" t="str">
            <v>MANTENER</v>
          </cell>
          <cell r="P60">
            <v>0.2</v>
          </cell>
          <cell r="Q60">
            <v>0.25</v>
          </cell>
          <cell r="R60">
            <v>0.1</v>
          </cell>
          <cell r="S60">
            <v>0.3</v>
          </cell>
          <cell r="T60">
            <v>0.05</v>
          </cell>
          <cell r="U60" t="str">
            <v>-</v>
          </cell>
          <cell r="V60">
            <v>0.1</v>
          </cell>
          <cell r="W60">
            <v>0</v>
          </cell>
          <cell r="X60">
            <v>458</v>
          </cell>
          <cell r="Y60" t="str">
            <v>SI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5</v>
          </cell>
          <cell r="AG60">
            <v>0</v>
          </cell>
          <cell r="AH60">
            <v>2</v>
          </cell>
          <cell r="AI60">
            <v>3</v>
          </cell>
          <cell r="AJ60">
            <v>0</v>
          </cell>
          <cell r="AK60">
            <v>5</v>
          </cell>
          <cell r="AL60">
            <v>2</v>
          </cell>
          <cell r="AM60">
            <v>12</v>
          </cell>
          <cell r="AN60">
            <v>473</v>
          </cell>
          <cell r="AO60">
            <v>449.65</v>
          </cell>
          <cell r="AP60">
            <v>520.04999999999995</v>
          </cell>
          <cell r="AQ60">
            <v>481.75</v>
          </cell>
          <cell r="AR60">
            <v>-38.299999999999955</v>
          </cell>
          <cell r="AS60">
            <v>481.75</v>
          </cell>
          <cell r="AT60">
            <v>500</v>
          </cell>
        </row>
        <row r="61">
          <cell r="B61">
            <v>41089</v>
          </cell>
          <cell r="C61" t="str">
            <v>Ingeniería</v>
          </cell>
          <cell r="D61" t="str">
            <v>Viña</v>
          </cell>
          <cell r="E61" t="str">
            <v>Presencial</v>
          </cell>
          <cell r="F61" t="str">
            <v>UNAB12100</v>
          </cell>
          <cell r="G61" t="str">
            <v>VIN</v>
          </cell>
          <cell r="H61" t="str">
            <v>Ingeniería Civil Industrial</v>
          </cell>
          <cell r="I61" t="e">
            <v>#N/A</v>
          </cell>
          <cell r="J61" t="str">
            <v>SI</v>
          </cell>
          <cell r="K61">
            <v>600</v>
          </cell>
          <cell r="L61" t="str">
            <v>Mantener</v>
          </cell>
          <cell r="M61">
            <v>600</v>
          </cell>
          <cell r="N61">
            <v>1</v>
          </cell>
          <cell r="O61" t="str">
            <v>MANTENER</v>
          </cell>
          <cell r="P61">
            <v>0.2</v>
          </cell>
          <cell r="Q61">
            <v>0.25</v>
          </cell>
          <cell r="R61">
            <v>0.1</v>
          </cell>
          <cell r="S61">
            <v>0.3</v>
          </cell>
          <cell r="T61">
            <v>0.05</v>
          </cell>
          <cell r="U61" t="str">
            <v>-</v>
          </cell>
          <cell r="V61">
            <v>0.1</v>
          </cell>
          <cell r="W61">
            <v>0</v>
          </cell>
          <cell r="X61">
            <v>458</v>
          </cell>
          <cell r="Y61" t="str">
            <v>SI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5</v>
          </cell>
          <cell r="AG61">
            <v>0</v>
          </cell>
          <cell r="AH61">
            <v>2</v>
          </cell>
          <cell r="AI61">
            <v>3</v>
          </cell>
          <cell r="AJ61">
            <v>0</v>
          </cell>
          <cell r="AK61">
            <v>1</v>
          </cell>
          <cell r="AL61">
            <v>-2</v>
          </cell>
          <cell r="AM61">
            <v>8</v>
          </cell>
          <cell r="AN61">
            <v>430</v>
          </cell>
          <cell r="AO61">
            <v>438.95</v>
          </cell>
          <cell r="AP61">
            <v>441.45</v>
          </cell>
          <cell r="AQ61">
            <v>507.15</v>
          </cell>
          <cell r="AR61">
            <v>65.699999999999989</v>
          </cell>
          <cell r="AS61">
            <v>444.45</v>
          </cell>
          <cell r="AT61">
            <v>500</v>
          </cell>
        </row>
        <row r="62">
          <cell r="B62">
            <v>41206</v>
          </cell>
          <cell r="C62" t="str">
            <v>Ingeniería</v>
          </cell>
          <cell r="D62" t="str">
            <v>Santiago</v>
          </cell>
          <cell r="E62" t="str">
            <v>Presencial</v>
          </cell>
          <cell r="F62" t="str">
            <v>UNAB12100</v>
          </cell>
          <cell r="G62" t="str">
            <v>CAS</v>
          </cell>
          <cell r="H62" t="str">
            <v>Ingeniería Civil Industrial</v>
          </cell>
          <cell r="I62" t="e">
            <v>#N/A</v>
          </cell>
          <cell r="J62" t="str">
            <v>SI</v>
          </cell>
          <cell r="K62">
            <v>600</v>
          </cell>
          <cell r="L62" t="str">
            <v>Mantener</v>
          </cell>
          <cell r="M62">
            <v>600</v>
          </cell>
          <cell r="N62">
            <v>1</v>
          </cell>
          <cell r="O62" t="str">
            <v>MANTENER</v>
          </cell>
          <cell r="P62">
            <v>0.2</v>
          </cell>
          <cell r="Q62">
            <v>0.25</v>
          </cell>
          <cell r="R62">
            <v>0.1</v>
          </cell>
          <cell r="S62">
            <v>0.3</v>
          </cell>
          <cell r="T62">
            <v>0.05</v>
          </cell>
          <cell r="U62" t="str">
            <v>-</v>
          </cell>
          <cell r="V62">
            <v>0.1</v>
          </cell>
          <cell r="W62">
            <v>0</v>
          </cell>
          <cell r="X62">
            <v>458</v>
          </cell>
          <cell r="Y62" t="str">
            <v>SI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2</v>
          </cell>
          <cell r="AI62">
            <v>3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432.5</v>
          </cell>
          <cell r="AO62">
            <v>460.8</v>
          </cell>
          <cell r="AP62">
            <v>614.70000000000005</v>
          </cell>
          <cell r="AQ62">
            <v>641.25</v>
          </cell>
          <cell r="AR62">
            <v>26.549999999999955</v>
          </cell>
          <cell r="AS62">
            <v>507.55</v>
          </cell>
          <cell r="AT62">
            <v>500</v>
          </cell>
        </row>
        <row r="63">
          <cell r="B63">
            <v>41190</v>
          </cell>
          <cell r="C63" t="str">
            <v>Ingeniería</v>
          </cell>
          <cell r="D63" t="str">
            <v>Santiago</v>
          </cell>
          <cell r="E63" t="str">
            <v>Online</v>
          </cell>
          <cell r="F63" t="str">
            <v>UNAB37044</v>
          </cell>
          <cell r="G63" t="str">
            <v>CCL</v>
          </cell>
          <cell r="H63" t="str">
            <v>Ingeniería Civil Industrial (Vespertino)</v>
          </cell>
          <cell r="I63" t="e">
            <v>#N/A</v>
          </cell>
          <cell r="J63" t="str">
            <v>NO APLICA</v>
          </cell>
          <cell r="K63">
            <v>500</v>
          </cell>
          <cell r="L63" t="str">
            <v>Mantener</v>
          </cell>
          <cell r="M63">
            <v>500</v>
          </cell>
          <cell r="N63">
            <v>1</v>
          </cell>
          <cell r="O63" t="str">
            <v>MANTENER</v>
          </cell>
          <cell r="P63">
            <v>0.2</v>
          </cell>
          <cell r="Q63">
            <v>0.3</v>
          </cell>
          <cell r="R63">
            <v>0.1</v>
          </cell>
          <cell r="S63">
            <v>0.3</v>
          </cell>
          <cell r="T63" t="str">
            <v>-</v>
          </cell>
          <cell r="U63">
            <v>0.1</v>
          </cell>
          <cell r="V63">
            <v>0.1</v>
          </cell>
          <cell r="W63">
            <v>0</v>
          </cell>
          <cell r="X63">
            <v>458</v>
          </cell>
          <cell r="Y63" t="str">
            <v>NO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2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368.5</v>
          </cell>
          <cell r="AP63">
            <v>450.3</v>
          </cell>
          <cell r="AQ63">
            <v>450</v>
          </cell>
          <cell r="AR63">
            <v>-0.30000000000001137</v>
          </cell>
          <cell r="AS63">
            <v>450</v>
          </cell>
          <cell r="AT63">
            <v>500</v>
          </cell>
        </row>
        <row r="64">
          <cell r="B64">
            <v>41045</v>
          </cell>
          <cell r="C64" t="str">
            <v>Ingeniería</v>
          </cell>
          <cell r="D64" t="str">
            <v>Santiago</v>
          </cell>
          <cell r="E64" t="str">
            <v>Presencial</v>
          </cell>
          <cell r="F64" t="str">
            <v>UNAB12210</v>
          </cell>
          <cell r="G64" t="str">
            <v>ANT</v>
          </cell>
          <cell r="H64" t="str">
            <v>Ingeniería Civil Informática</v>
          </cell>
          <cell r="I64" t="e">
            <v>#N/A</v>
          </cell>
          <cell r="J64" t="str">
            <v>SI</v>
          </cell>
          <cell r="K64">
            <v>600</v>
          </cell>
          <cell r="L64" t="str">
            <v>Mantener</v>
          </cell>
          <cell r="M64">
            <v>600</v>
          </cell>
          <cell r="N64">
            <v>1</v>
          </cell>
          <cell r="O64" t="str">
            <v>MANTENER</v>
          </cell>
          <cell r="P64">
            <v>0.3</v>
          </cell>
          <cell r="Q64">
            <v>0.1</v>
          </cell>
          <cell r="R64">
            <v>0.1</v>
          </cell>
          <cell r="S64">
            <v>0.35</v>
          </cell>
          <cell r="T64">
            <v>0.05</v>
          </cell>
          <cell r="U64" t="str">
            <v>-</v>
          </cell>
          <cell r="V64">
            <v>0.1</v>
          </cell>
          <cell r="W64">
            <v>0</v>
          </cell>
          <cell r="X64">
            <v>458</v>
          </cell>
          <cell r="Y64" t="str">
            <v>SI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2</v>
          </cell>
          <cell r="AI64">
            <v>3</v>
          </cell>
          <cell r="AJ64">
            <v>0</v>
          </cell>
          <cell r="AK64">
            <v>25</v>
          </cell>
          <cell r="AL64">
            <v>22</v>
          </cell>
          <cell r="AM64">
            <v>27</v>
          </cell>
          <cell r="AN64">
            <v>457.8</v>
          </cell>
          <cell r="AO64">
            <v>427.8</v>
          </cell>
          <cell r="AP64">
            <v>434.75</v>
          </cell>
          <cell r="AQ64">
            <v>482.8</v>
          </cell>
          <cell r="AR64">
            <v>48.050000000000011</v>
          </cell>
          <cell r="AS64">
            <v>482.8</v>
          </cell>
          <cell r="AT64">
            <v>500</v>
          </cell>
        </row>
        <row r="65">
          <cell r="B65">
            <v>41162</v>
          </cell>
          <cell r="C65" t="str">
            <v>Ingeniería</v>
          </cell>
          <cell r="D65" t="str">
            <v>Viña</v>
          </cell>
          <cell r="E65" t="str">
            <v>Presencial</v>
          </cell>
          <cell r="F65" t="str">
            <v>UNAB12210</v>
          </cell>
          <cell r="G65" t="str">
            <v>VIN</v>
          </cell>
          <cell r="H65" t="str">
            <v>Ingeniería Civil Informática</v>
          </cell>
          <cell r="I65" t="e">
            <v>#N/A</v>
          </cell>
          <cell r="J65" t="str">
            <v>SI</v>
          </cell>
          <cell r="K65">
            <v>600</v>
          </cell>
          <cell r="L65" t="str">
            <v>Mantener</v>
          </cell>
          <cell r="M65">
            <v>600</v>
          </cell>
          <cell r="N65">
            <v>1</v>
          </cell>
          <cell r="O65" t="str">
            <v>MANTENER</v>
          </cell>
          <cell r="P65">
            <v>0.3</v>
          </cell>
          <cell r="Q65">
            <v>0.1</v>
          </cell>
          <cell r="R65">
            <v>0.1</v>
          </cell>
          <cell r="S65">
            <v>0.35</v>
          </cell>
          <cell r="T65">
            <v>0.05</v>
          </cell>
          <cell r="U65" t="str">
            <v>-</v>
          </cell>
          <cell r="V65">
            <v>0.1</v>
          </cell>
          <cell r="W65">
            <v>0</v>
          </cell>
          <cell r="X65">
            <v>458</v>
          </cell>
          <cell r="Y65" t="str">
            <v>SI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2</v>
          </cell>
          <cell r="AI65">
            <v>3</v>
          </cell>
          <cell r="AJ65">
            <v>0</v>
          </cell>
          <cell r="AK65">
            <v>4</v>
          </cell>
          <cell r="AL65">
            <v>1</v>
          </cell>
          <cell r="AM65">
            <v>6</v>
          </cell>
          <cell r="AN65">
            <v>455.5</v>
          </cell>
          <cell r="AO65">
            <v>452.9</v>
          </cell>
          <cell r="AP65">
            <v>489.75</v>
          </cell>
          <cell r="AQ65">
            <v>446.45</v>
          </cell>
          <cell r="AR65">
            <v>-43.300000000000011</v>
          </cell>
          <cell r="AS65">
            <v>446.45</v>
          </cell>
          <cell r="AT65">
            <v>500</v>
          </cell>
        </row>
        <row r="66">
          <cell r="B66">
            <v>41207</v>
          </cell>
          <cell r="C66" t="str">
            <v>Ingeniería</v>
          </cell>
          <cell r="D66" t="str">
            <v>Santiago</v>
          </cell>
          <cell r="E66" t="str">
            <v>Presencial</v>
          </cell>
          <cell r="F66" t="str">
            <v>UNAB12210</v>
          </cell>
          <cell r="G66" t="str">
            <v>CAS</v>
          </cell>
          <cell r="H66" t="str">
            <v>Ingeniería Civil Informática</v>
          </cell>
          <cell r="I66" t="e">
            <v>#N/A</v>
          </cell>
          <cell r="J66" t="str">
            <v>SI</v>
          </cell>
          <cell r="K66">
            <v>600</v>
          </cell>
          <cell r="L66" t="str">
            <v>Mantener</v>
          </cell>
          <cell r="M66">
            <v>600</v>
          </cell>
          <cell r="N66">
            <v>1</v>
          </cell>
          <cell r="O66" t="str">
            <v>MANTENER</v>
          </cell>
          <cell r="P66">
            <v>0.3</v>
          </cell>
          <cell r="Q66">
            <v>0.1</v>
          </cell>
          <cell r="R66">
            <v>0.1</v>
          </cell>
          <cell r="S66">
            <v>0.35</v>
          </cell>
          <cell r="T66">
            <v>0.05</v>
          </cell>
          <cell r="U66" t="str">
            <v>-</v>
          </cell>
          <cell r="V66">
            <v>0.1</v>
          </cell>
          <cell r="W66">
            <v>0</v>
          </cell>
          <cell r="X66">
            <v>458</v>
          </cell>
          <cell r="Y66" t="str">
            <v>SI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2</v>
          </cell>
          <cell r="AI66">
            <v>3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457.8</v>
          </cell>
          <cell r="AO66">
            <v>426.8</v>
          </cell>
          <cell r="AP66">
            <v>460</v>
          </cell>
          <cell r="AQ66">
            <v>551.54999999999995</v>
          </cell>
          <cell r="AR66">
            <v>91.549999999999955</v>
          </cell>
          <cell r="AS66">
            <v>480.25</v>
          </cell>
          <cell r="AT66">
            <v>500</v>
          </cell>
        </row>
        <row r="67">
          <cell r="B67">
            <v>41208</v>
          </cell>
          <cell r="C67" t="str">
            <v>Ingeniería</v>
          </cell>
          <cell r="D67" t="str">
            <v xml:space="preserve">Concepción </v>
          </cell>
          <cell r="E67" t="str">
            <v>Presencial</v>
          </cell>
          <cell r="F67" t="str">
            <v>UNAB12210</v>
          </cell>
          <cell r="G67" t="str">
            <v>CON</v>
          </cell>
          <cell r="H67" t="str">
            <v>Ingeniería Civil Informática</v>
          </cell>
          <cell r="I67" t="e">
            <v>#N/A</v>
          </cell>
          <cell r="J67" t="str">
            <v>SI</v>
          </cell>
          <cell r="K67">
            <v>600</v>
          </cell>
          <cell r="L67" t="str">
            <v>550↓</v>
          </cell>
          <cell r="M67">
            <v>550</v>
          </cell>
          <cell r="N67">
            <v>1</v>
          </cell>
          <cell r="O67" t="str">
            <v>MANTENER</v>
          </cell>
          <cell r="P67">
            <v>0.3</v>
          </cell>
          <cell r="Q67">
            <v>0.1</v>
          </cell>
          <cell r="R67">
            <v>0.1</v>
          </cell>
          <cell r="S67">
            <v>0.35</v>
          </cell>
          <cell r="T67">
            <v>0.05</v>
          </cell>
          <cell r="U67" t="str">
            <v>-</v>
          </cell>
          <cell r="V67">
            <v>0.1</v>
          </cell>
          <cell r="W67">
            <v>0</v>
          </cell>
          <cell r="X67">
            <v>458</v>
          </cell>
          <cell r="Y67" t="str">
            <v>SI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2</v>
          </cell>
          <cell r="AI67">
            <v>3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455.5</v>
          </cell>
          <cell r="AO67">
            <v>497.45</v>
          </cell>
          <cell r="AP67">
            <v>449.8</v>
          </cell>
          <cell r="AQ67">
            <v>509.5</v>
          </cell>
          <cell r="AR67">
            <v>59.699999999999989</v>
          </cell>
          <cell r="AS67">
            <v>509.5</v>
          </cell>
          <cell r="AT67">
            <v>500</v>
          </cell>
        </row>
        <row r="68">
          <cell r="B68">
            <v>41129</v>
          </cell>
          <cell r="C68" t="str">
            <v>Economia y Negocios</v>
          </cell>
          <cell r="D68" t="str">
            <v>Santiago</v>
          </cell>
          <cell r="E68" t="str">
            <v>Presencial</v>
          </cell>
          <cell r="F68" t="str">
            <v>UNAB11600</v>
          </cell>
          <cell r="G68" t="str">
            <v>BEL</v>
          </cell>
          <cell r="H68" t="str">
            <v>Ingeniería Comercial</v>
          </cell>
          <cell r="I68" t="e">
            <v>#N/A</v>
          </cell>
          <cell r="J68" t="str">
            <v>NO APLICA</v>
          </cell>
          <cell r="K68">
            <v>550</v>
          </cell>
          <cell r="L68" t="str">
            <v>Mantener</v>
          </cell>
          <cell r="M68">
            <v>550</v>
          </cell>
          <cell r="N68">
            <v>1</v>
          </cell>
          <cell r="O68" t="str">
            <v>MANTENER</v>
          </cell>
          <cell r="P68">
            <v>0.1</v>
          </cell>
          <cell r="Q68">
            <v>0.4</v>
          </cell>
          <cell r="R68">
            <v>0.1</v>
          </cell>
          <cell r="S68">
            <v>0.3</v>
          </cell>
          <cell r="T68" t="str">
            <v>-</v>
          </cell>
          <cell r="U68">
            <v>0.1</v>
          </cell>
          <cell r="V68">
            <v>0.1</v>
          </cell>
          <cell r="W68">
            <v>0</v>
          </cell>
          <cell r="X68">
            <v>458</v>
          </cell>
          <cell r="Y68" t="str">
            <v>SI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2</v>
          </cell>
          <cell r="AI68">
            <v>3</v>
          </cell>
          <cell r="AJ68">
            <v>0</v>
          </cell>
          <cell r="AK68">
            <v>28</v>
          </cell>
          <cell r="AL68">
            <v>25</v>
          </cell>
          <cell r="AM68">
            <v>30</v>
          </cell>
          <cell r="AN68">
            <v>452.2</v>
          </cell>
          <cell r="AO68">
            <v>356.7</v>
          </cell>
          <cell r="AP68">
            <v>493.3</v>
          </cell>
          <cell r="AQ68">
            <v>393.6</v>
          </cell>
          <cell r="AR68">
            <v>-99.699999999999989</v>
          </cell>
          <cell r="AS68">
            <v>393.6</v>
          </cell>
          <cell r="AT68">
            <v>450</v>
          </cell>
        </row>
        <row r="69">
          <cell r="B69">
            <v>41028</v>
          </cell>
          <cell r="C69" t="str">
            <v>Economia y Negocios</v>
          </cell>
          <cell r="D69" t="str">
            <v>Santiago</v>
          </cell>
          <cell r="E69" t="str">
            <v>Presencial</v>
          </cell>
          <cell r="F69" t="str">
            <v>UNAB11600</v>
          </cell>
          <cell r="G69" t="str">
            <v>CAS</v>
          </cell>
          <cell r="H69" t="str">
            <v>Ingeniería Comercial</v>
          </cell>
          <cell r="I69" t="e">
            <v>#N/A</v>
          </cell>
          <cell r="J69" t="str">
            <v>NO APLICA</v>
          </cell>
          <cell r="K69">
            <v>550</v>
          </cell>
          <cell r="L69" t="str">
            <v>Mantener</v>
          </cell>
          <cell r="M69">
            <v>550</v>
          </cell>
          <cell r="N69">
            <v>1</v>
          </cell>
          <cell r="O69" t="str">
            <v>MANTENER</v>
          </cell>
          <cell r="P69">
            <v>0.1</v>
          </cell>
          <cell r="Q69">
            <v>0.4</v>
          </cell>
          <cell r="R69">
            <v>0.1</v>
          </cell>
          <cell r="S69">
            <v>0.3</v>
          </cell>
          <cell r="T69" t="str">
            <v>-</v>
          </cell>
          <cell r="U69">
            <v>0.1</v>
          </cell>
          <cell r="V69">
            <v>0.1</v>
          </cell>
          <cell r="W69">
            <v>0</v>
          </cell>
          <cell r="X69">
            <v>458</v>
          </cell>
          <cell r="Y69" t="str">
            <v>SI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2</v>
          </cell>
          <cell r="AI69">
            <v>3</v>
          </cell>
          <cell r="AJ69">
            <v>0</v>
          </cell>
          <cell r="AK69">
            <v>49</v>
          </cell>
          <cell r="AL69">
            <v>46</v>
          </cell>
          <cell r="AM69">
            <v>51</v>
          </cell>
          <cell r="AN69">
            <v>397.6</v>
          </cell>
          <cell r="AO69">
            <v>405.4</v>
          </cell>
          <cell r="AP69">
            <v>397.2</v>
          </cell>
          <cell r="AQ69">
            <v>467.3</v>
          </cell>
          <cell r="AR69">
            <v>70.100000000000023</v>
          </cell>
          <cell r="AS69">
            <v>467.3</v>
          </cell>
          <cell r="AT69">
            <v>450</v>
          </cell>
        </row>
        <row r="70">
          <cell r="B70">
            <v>41109</v>
          </cell>
          <cell r="C70" t="str">
            <v>Economia y Negocios</v>
          </cell>
          <cell r="D70" t="str">
            <v xml:space="preserve">Concepción </v>
          </cell>
          <cell r="E70" t="str">
            <v>Presencial</v>
          </cell>
          <cell r="F70" t="str">
            <v>UNAB11600</v>
          </cell>
          <cell r="G70" t="str">
            <v>CON</v>
          </cell>
          <cell r="H70" t="str">
            <v>Ingeniería Comercial</v>
          </cell>
          <cell r="I70" t="e">
            <v>#N/A</v>
          </cell>
          <cell r="J70" t="str">
            <v>NO APLICA</v>
          </cell>
          <cell r="K70">
            <v>550</v>
          </cell>
          <cell r="L70" t="str">
            <v>Mantener</v>
          </cell>
          <cell r="M70">
            <v>550</v>
          </cell>
          <cell r="N70">
            <v>1</v>
          </cell>
          <cell r="O70" t="str">
            <v>MANTENER</v>
          </cell>
          <cell r="P70">
            <v>0.1</v>
          </cell>
          <cell r="Q70">
            <v>0.4</v>
          </cell>
          <cell r="R70">
            <v>0.1</v>
          </cell>
          <cell r="S70">
            <v>0.3</v>
          </cell>
          <cell r="T70" t="str">
            <v>-</v>
          </cell>
          <cell r="U70">
            <v>0.1</v>
          </cell>
          <cell r="V70">
            <v>0.1</v>
          </cell>
          <cell r="W70">
            <v>0</v>
          </cell>
          <cell r="X70">
            <v>458</v>
          </cell>
          <cell r="Y70" t="str">
            <v>SI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2</v>
          </cell>
          <cell r="AI70">
            <v>3</v>
          </cell>
          <cell r="AJ70">
            <v>0</v>
          </cell>
          <cell r="AK70">
            <v>17</v>
          </cell>
          <cell r="AL70">
            <v>14</v>
          </cell>
          <cell r="AM70">
            <v>19</v>
          </cell>
          <cell r="AN70">
            <v>441.5</v>
          </cell>
          <cell r="AO70">
            <v>452.6</v>
          </cell>
          <cell r="AP70">
            <v>452.9</v>
          </cell>
          <cell r="AQ70">
            <v>496.2</v>
          </cell>
          <cell r="AR70">
            <v>43.300000000000011</v>
          </cell>
          <cell r="AS70">
            <v>496.2</v>
          </cell>
          <cell r="AT70">
            <v>450</v>
          </cell>
        </row>
        <row r="71">
          <cell r="B71">
            <v>41076</v>
          </cell>
          <cell r="C71" t="str">
            <v>Economia y Negocios</v>
          </cell>
          <cell r="D71" t="str">
            <v>Viña</v>
          </cell>
          <cell r="E71" t="str">
            <v>Presencial</v>
          </cell>
          <cell r="F71" t="str">
            <v>UNAB11600</v>
          </cell>
          <cell r="G71" t="str">
            <v>VIN</v>
          </cell>
          <cell r="H71" t="str">
            <v>Ingeniería Comercial</v>
          </cell>
          <cell r="I71" t="e">
            <v>#N/A</v>
          </cell>
          <cell r="J71" t="str">
            <v>NO APLICA</v>
          </cell>
          <cell r="K71">
            <v>550</v>
          </cell>
          <cell r="L71" t="str">
            <v>Mantener</v>
          </cell>
          <cell r="M71">
            <v>550</v>
          </cell>
          <cell r="N71">
            <v>1</v>
          </cell>
          <cell r="O71" t="str">
            <v>MANTENER</v>
          </cell>
          <cell r="P71">
            <v>0.1</v>
          </cell>
          <cell r="Q71">
            <v>0.4</v>
          </cell>
          <cell r="R71">
            <v>0.1</v>
          </cell>
          <cell r="S71">
            <v>0.3</v>
          </cell>
          <cell r="T71" t="str">
            <v>-</v>
          </cell>
          <cell r="U71">
            <v>0.1</v>
          </cell>
          <cell r="V71">
            <v>0.1</v>
          </cell>
          <cell r="W71">
            <v>0</v>
          </cell>
          <cell r="X71">
            <v>458</v>
          </cell>
          <cell r="Y71" t="str">
            <v>SI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2</v>
          </cell>
          <cell r="AI71">
            <v>3</v>
          </cell>
          <cell r="AJ71">
            <v>0</v>
          </cell>
          <cell r="AK71">
            <v>24</v>
          </cell>
          <cell r="AL71">
            <v>21</v>
          </cell>
          <cell r="AM71">
            <v>26</v>
          </cell>
          <cell r="AN71">
            <v>430.6</v>
          </cell>
          <cell r="AO71">
            <v>443.6</v>
          </cell>
          <cell r="AP71">
            <v>503.5</v>
          </cell>
          <cell r="AQ71">
            <v>462.1</v>
          </cell>
          <cell r="AR71">
            <v>-41.399999999999977</v>
          </cell>
          <cell r="AS71">
            <v>462.1</v>
          </cell>
          <cell r="AT71">
            <v>450</v>
          </cell>
        </row>
        <row r="72">
          <cell r="B72">
            <v>41176</v>
          </cell>
          <cell r="C72" t="str">
            <v>Economia y Negocios</v>
          </cell>
          <cell r="D72" t="str">
            <v>Santiago</v>
          </cell>
          <cell r="E72" t="str">
            <v>Semipresencial</v>
          </cell>
          <cell r="F72" t="str">
            <v>UNAB21600</v>
          </cell>
          <cell r="G72" t="str">
            <v>BEL</v>
          </cell>
          <cell r="H72" t="str">
            <v>Ingeniería Comercial (Vespertino)</v>
          </cell>
          <cell r="I72" t="e">
            <v>#N/A</v>
          </cell>
          <cell r="J72" t="str">
            <v>NO APLICA</v>
          </cell>
          <cell r="K72">
            <v>500</v>
          </cell>
          <cell r="L72" t="str">
            <v>Mantener</v>
          </cell>
          <cell r="M72">
            <v>550</v>
          </cell>
          <cell r="N72">
            <v>1</v>
          </cell>
          <cell r="O72" t="str">
            <v>MANTENER</v>
          </cell>
          <cell r="P72">
            <v>0.1</v>
          </cell>
          <cell r="Q72">
            <v>0.4</v>
          </cell>
          <cell r="R72">
            <v>0.1</v>
          </cell>
          <cell r="S72">
            <v>0.3</v>
          </cell>
          <cell r="T72" t="str">
            <v>-</v>
          </cell>
          <cell r="U72">
            <v>0.1</v>
          </cell>
          <cell r="V72">
            <v>0.1</v>
          </cell>
          <cell r="W72">
            <v>0</v>
          </cell>
          <cell r="X72">
            <v>458</v>
          </cell>
          <cell r="Y72" t="str">
            <v>NO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2</v>
          </cell>
          <cell r="AI72">
            <v>3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481.3</v>
          </cell>
          <cell r="AO72">
            <v>416.6</v>
          </cell>
          <cell r="AP72">
            <v>433.1</v>
          </cell>
          <cell r="AQ72">
            <v>450</v>
          </cell>
          <cell r="AR72">
            <v>16.899999999999977</v>
          </cell>
          <cell r="AS72">
            <v>450</v>
          </cell>
          <cell r="AT72">
            <v>450</v>
          </cell>
        </row>
        <row r="73">
          <cell r="B73">
            <v>41029</v>
          </cell>
          <cell r="C73" t="str">
            <v>Economia y Negocios</v>
          </cell>
          <cell r="D73" t="str">
            <v>Santiago</v>
          </cell>
          <cell r="E73" t="str">
            <v>Presencial</v>
          </cell>
          <cell r="F73" t="str">
            <v>UNAB12410</v>
          </cell>
          <cell r="G73" t="str">
            <v>LNS</v>
          </cell>
          <cell r="H73" t="str">
            <v>Ingeniería en Administración de Empresas</v>
          </cell>
          <cell r="I73" t="e">
            <v>#N/A</v>
          </cell>
          <cell r="J73" t="str">
            <v>NO APLICA</v>
          </cell>
          <cell r="K73">
            <v>550</v>
          </cell>
          <cell r="L73" t="str">
            <v>Mantener</v>
          </cell>
          <cell r="M73">
            <v>550</v>
          </cell>
          <cell r="N73">
            <v>1</v>
          </cell>
          <cell r="O73" t="str">
            <v>MANTENER</v>
          </cell>
          <cell r="P73">
            <v>0.1</v>
          </cell>
          <cell r="Q73">
            <v>0.4</v>
          </cell>
          <cell r="R73">
            <v>0.1</v>
          </cell>
          <cell r="S73">
            <v>0.3</v>
          </cell>
          <cell r="T73" t="str">
            <v>-</v>
          </cell>
          <cell r="U73">
            <v>0.1</v>
          </cell>
          <cell r="V73">
            <v>0.1</v>
          </cell>
          <cell r="W73">
            <v>0</v>
          </cell>
          <cell r="X73">
            <v>458</v>
          </cell>
          <cell r="Y73" t="str">
            <v>SI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2</v>
          </cell>
          <cell r="AI73">
            <v>3</v>
          </cell>
          <cell r="AJ73">
            <v>0</v>
          </cell>
          <cell r="AK73">
            <v>26</v>
          </cell>
          <cell r="AL73">
            <v>23</v>
          </cell>
          <cell r="AM73">
            <v>28</v>
          </cell>
          <cell r="AN73">
            <v>442.9</v>
          </cell>
          <cell r="AO73">
            <v>542.70000000000005</v>
          </cell>
          <cell r="AP73">
            <v>473.6</v>
          </cell>
          <cell r="AQ73">
            <v>430.8</v>
          </cell>
          <cell r="AR73">
            <v>-42.800000000000011</v>
          </cell>
          <cell r="AS73">
            <v>430.8</v>
          </cell>
          <cell r="AT73">
            <v>450</v>
          </cell>
        </row>
        <row r="74">
          <cell r="B74">
            <v>41077</v>
          </cell>
          <cell r="C74" t="str">
            <v>Economia y Negocios</v>
          </cell>
          <cell r="D74" t="str">
            <v>Viña</v>
          </cell>
          <cell r="E74" t="str">
            <v>Presencial</v>
          </cell>
          <cell r="F74" t="str">
            <v>UNAB12410</v>
          </cell>
          <cell r="G74" t="str">
            <v>VIN</v>
          </cell>
          <cell r="H74" t="str">
            <v>Ingeniería en Administración de Empresas</v>
          </cell>
          <cell r="I74" t="e">
            <v>#N/A</v>
          </cell>
          <cell r="J74" t="str">
            <v>NO APLICA</v>
          </cell>
          <cell r="K74">
            <v>550</v>
          </cell>
          <cell r="L74" t="str">
            <v>Mantener</v>
          </cell>
          <cell r="M74">
            <v>550</v>
          </cell>
          <cell r="N74">
            <v>1</v>
          </cell>
          <cell r="O74" t="str">
            <v>MANTENER</v>
          </cell>
          <cell r="P74">
            <v>0.1</v>
          </cell>
          <cell r="Q74">
            <v>0.4</v>
          </cell>
          <cell r="R74">
            <v>0.1</v>
          </cell>
          <cell r="S74">
            <v>0.3</v>
          </cell>
          <cell r="T74" t="str">
            <v>-</v>
          </cell>
          <cell r="U74">
            <v>0.1</v>
          </cell>
          <cell r="V74">
            <v>0.1</v>
          </cell>
          <cell r="W74">
            <v>0</v>
          </cell>
          <cell r="X74">
            <v>458</v>
          </cell>
          <cell r="Y74" t="str">
            <v>SI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2</v>
          </cell>
          <cell r="AI74">
            <v>3</v>
          </cell>
          <cell r="AJ74">
            <v>0</v>
          </cell>
          <cell r="AK74">
            <v>9</v>
          </cell>
          <cell r="AL74">
            <v>6</v>
          </cell>
          <cell r="AM74">
            <v>11</v>
          </cell>
          <cell r="AN74">
            <v>449.3</v>
          </cell>
          <cell r="AO74">
            <v>463.5</v>
          </cell>
          <cell r="AP74">
            <v>497.1</v>
          </cell>
          <cell r="AQ74">
            <v>458</v>
          </cell>
          <cell r="AR74">
            <v>-39.100000000000023</v>
          </cell>
          <cell r="AS74">
            <v>458</v>
          </cell>
          <cell r="AT74">
            <v>450</v>
          </cell>
        </row>
        <row r="75">
          <cell r="B75">
            <v>41172</v>
          </cell>
          <cell r="C75" t="str">
            <v>Economia y Negocios</v>
          </cell>
          <cell r="D75" t="str">
            <v xml:space="preserve">Concepción </v>
          </cell>
          <cell r="E75" t="str">
            <v>Semipresencial</v>
          </cell>
          <cell r="F75" t="str">
            <v>UNAB22410</v>
          </cell>
          <cell r="G75" t="str">
            <v>CON</v>
          </cell>
          <cell r="H75" t="str">
            <v>Ingeniería en Administración de Empresas (Vespertino)</v>
          </cell>
          <cell r="I75" t="e">
            <v>#N/A</v>
          </cell>
          <cell r="J75" t="str">
            <v>NO APLICA</v>
          </cell>
          <cell r="K75">
            <v>500</v>
          </cell>
          <cell r="L75" t="str">
            <v>NO</v>
          </cell>
          <cell r="M75" t="str">
            <v>NO</v>
          </cell>
          <cell r="N75" t="str">
            <v>NO</v>
          </cell>
          <cell r="O75" t="str">
            <v>P.CIERRE</v>
          </cell>
          <cell r="P75">
            <v>0.1</v>
          </cell>
          <cell r="Q75">
            <v>0.4</v>
          </cell>
          <cell r="R75">
            <v>0.1</v>
          </cell>
          <cell r="S75">
            <v>0.3</v>
          </cell>
          <cell r="T75" t="str">
            <v>-</v>
          </cell>
          <cell r="U75">
            <v>0.1</v>
          </cell>
          <cell r="V75">
            <v>0.1</v>
          </cell>
          <cell r="W75">
            <v>0</v>
          </cell>
          <cell r="X75">
            <v>458</v>
          </cell>
          <cell r="Y75" t="str">
            <v>NO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2</v>
          </cell>
          <cell r="AI75">
            <v>3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541.79999999999995</v>
          </cell>
          <cell r="AO75">
            <v>623.20000000000005</v>
          </cell>
          <cell r="AP75">
            <v>507.1</v>
          </cell>
          <cell r="AQ75" t="str">
            <v>-</v>
          </cell>
          <cell r="AR75" t="str">
            <v>-</v>
          </cell>
          <cell r="AS75" t="str">
            <v>-</v>
          </cell>
          <cell r="AT75" t="str">
            <v>-</v>
          </cell>
        </row>
        <row r="76">
          <cell r="B76">
            <v>41174</v>
          </cell>
          <cell r="C76" t="str">
            <v>Economia y Negocios</v>
          </cell>
          <cell r="D76" t="str">
            <v>Santiago</v>
          </cell>
          <cell r="E76" t="str">
            <v>Semipresencial</v>
          </cell>
          <cell r="F76" t="str">
            <v>UNAB22410</v>
          </cell>
          <cell r="G76" t="str">
            <v>LNS</v>
          </cell>
          <cell r="H76" t="str">
            <v>Ingeniería en Administración de Empresas (Vespertino)</v>
          </cell>
          <cell r="I76" t="e">
            <v>#N/A</v>
          </cell>
          <cell r="J76" t="str">
            <v>NO APLICA</v>
          </cell>
          <cell r="K76">
            <v>500</v>
          </cell>
          <cell r="L76" t="str">
            <v>Mantener</v>
          </cell>
          <cell r="M76">
            <v>500</v>
          </cell>
          <cell r="N76">
            <v>1</v>
          </cell>
          <cell r="O76" t="str">
            <v>MANTENER</v>
          </cell>
          <cell r="P76">
            <v>0.1</v>
          </cell>
          <cell r="Q76">
            <v>0.4</v>
          </cell>
          <cell r="R76">
            <v>0.1</v>
          </cell>
          <cell r="S76">
            <v>0.3</v>
          </cell>
          <cell r="T76" t="str">
            <v>-</v>
          </cell>
          <cell r="U76">
            <v>0.1</v>
          </cell>
          <cell r="V76">
            <v>0.1</v>
          </cell>
          <cell r="W76">
            <v>0</v>
          </cell>
          <cell r="X76">
            <v>458</v>
          </cell>
          <cell r="Y76" t="str">
            <v>NO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2</v>
          </cell>
          <cell r="AI76">
            <v>3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625.70000000000005</v>
          </cell>
          <cell r="AO76">
            <v>455.7</v>
          </cell>
          <cell r="AP76">
            <v>463</v>
          </cell>
          <cell r="AQ76">
            <v>450</v>
          </cell>
          <cell r="AR76">
            <v>-13</v>
          </cell>
          <cell r="AS76">
            <v>450</v>
          </cell>
          <cell r="AT76">
            <v>450</v>
          </cell>
        </row>
        <row r="77">
          <cell r="B77">
            <v>41177</v>
          </cell>
          <cell r="C77" t="str">
            <v>Economia y Negocios</v>
          </cell>
          <cell r="D77" t="str">
            <v>Viña</v>
          </cell>
          <cell r="E77" t="str">
            <v>Semipresencial</v>
          </cell>
          <cell r="F77" t="str">
            <v>UNAB22410</v>
          </cell>
          <cell r="G77" t="str">
            <v>VIN</v>
          </cell>
          <cell r="H77" t="str">
            <v>Ingeniería en Administración de Empresas (Vespertino)</v>
          </cell>
          <cell r="I77" t="e">
            <v>#N/A</v>
          </cell>
          <cell r="J77" t="str">
            <v>NO APLICA</v>
          </cell>
          <cell r="K77">
            <v>500</v>
          </cell>
          <cell r="L77" t="str">
            <v>Mantener</v>
          </cell>
          <cell r="M77">
            <v>500</v>
          </cell>
          <cell r="N77">
            <v>1</v>
          </cell>
          <cell r="O77" t="str">
            <v>MANTENER</v>
          </cell>
          <cell r="P77">
            <v>0.1</v>
          </cell>
          <cell r="Q77">
            <v>0.4</v>
          </cell>
          <cell r="R77">
            <v>0.1</v>
          </cell>
          <cell r="S77">
            <v>0.3</v>
          </cell>
          <cell r="T77" t="str">
            <v>-</v>
          </cell>
          <cell r="U77">
            <v>0.1</v>
          </cell>
          <cell r="V77">
            <v>0.1</v>
          </cell>
          <cell r="W77">
            <v>0</v>
          </cell>
          <cell r="X77">
            <v>458</v>
          </cell>
          <cell r="Y77" t="str">
            <v>NO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2</v>
          </cell>
          <cell r="AI77">
            <v>3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428.5</v>
          </cell>
          <cell r="AO77">
            <v>469.3</v>
          </cell>
          <cell r="AP77">
            <v>430.6</v>
          </cell>
          <cell r="AQ77">
            <v>450</v>
          </cell>
          <cell r="AR77">
            <v>19.399999999999977</v>
          </cell>
          <cell r="AS77">
            <v>450</v>
          </cell>
          <cell r="AT77">
            <v>450</v>
          </cell>
        </row>
        <row r="78">
          <cell r="B78">
            <v>41030</v>
          </cell>
          <cell r="C78" t="str">
            <v>Economia y Negocios</v>
          </cell>
          <cell r="D78" t="str">
            <v>Santiago</v>
          </cell>
          <cell r="E78" t="str">
            <v>Presencial</v>
          </cell>
          <cell r="F78" t="str">
            <v>UNAB19251</v>
          </cell>
          <cell r="G78" t="str">
            <v>CAS</v>
          </cell>
          <cell r="H78" t="str">
            <v>Ingeniería en Administración Hotelera Internacional</v>
          </cell>
          <cell r="I78" t="e">
            <v>#N/A</v>
          </cell>
          <cell r="J78" t="str">
            <v>NO APLICA</v>
          </cell>
          <cell r="K78">
            <v>600</v>
          </cell>
          <cell r="L78" t="str">
            <v>550↓</v>
          </cell>
          <cell r="M78">
            <v>550</v>
          </cell>
          <cell r="N78">
            <v>1</v>
          </cell>
          <cell r="O78" t="str">
            <v>MANTENER</v>
          </cell>
          <cell r="P78">
            <v>0.1</v>
          </cell>
          <cell r="Q78">
            <v>0.4</v>
          </cell>
          <cell r="R78">
            <v>0.1</v>
          </cell>
          <cell r="S78">
            <v>0.3</v>
          </cell>
          <cell r="T78" t="str">
            <v>-</v>
          </cell>
          <cell r="U78">
            <v>0.1</v>
          </cell>
          <cell r="V78">
            <v>0.1</v>
          </cell>
          <cell r="W78">
            <v>0</v>
          </cell>
          <cell r="X78">
            <v>458</v>
          </cell>
          <cell r="Y78" t="str">
            <v>SI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2</v>
          </cell>
          <cell r="AH78">
            <v>2</v>
          </cell>
          <cell r="AI78">
            <v>3</v>
          </cell>
          <cell r="AJ78">
            <v>0</v>
          </cell>
          <cell r="AK78">
            <v>5</v>
          </cell>
          <cell r="AL78">
            <v>2</v>
          </cell>
          <cell r="AM78">
            <v>9</v>
          </cell>
          <cell r="AN78">
            <v>504.9</v>
          </cell>
          <cell r="AO78">
            <v>463.3</v>
          </cell>
          <cell r="AP78">
            <v>405.8</v>
          </cell>
          <cell r="AQ78">
            <v>476.5</v>
          </cell>
          <cell r="AR78">
            <v>70.699999999999989</v>
          </cell>
          <cell r="AS78">
            <v>476.5</v>
          </cell>
          <cell r="AT78">
            <v>450</v>
          </cell>
        </row>
        <row r="79">
          <cell r="B79">
            <v>41047</v>
          </cell>
          <cell r="C79" t="str">
            <v>Ingeniería</v>
          </cell>
          <cell r="D79" t="str">
            <v>Santiago</v>
          </cell>
          <cell r="E79" t="str">
            <v>Presencial</v>
          </cell>
          <cell r="F79" t="str">
            <v>UNAB19202</v>
          </cell>
          <cell r="G79" t="str">
            <v>ANT</v>
          </cell>
          <cell r="H79" t="str">
            <v>Ingeniería en Automatización y Robótica</v>
          </cell>
          <cell r="I79" t="e">
            <v>#N/A</v>
          </cell>
          <cell r="J79" t="str">
            <v>SI</v>
          </cell>
          <cell r="K79">
            <v>600</v>
          </cell>
          <cell r="L79" t="str">
            <v>550↓</v>
          </cell>
          <cell r="M79">
            <v>550</v>
          </cell>
          <cell r="N79">
            <v>1</v>
          </cell>
          <cell r="O79" t="str">
            <v>MANTENER</v>
          </cell>
          <cell r="P79">
            <v>0.3</v>
          </cell>
          <cell r="Q79">
            <v>0.1</v>
          </cell>
          <cell r="R79">
            <v>0.1</v>
          </cell>
          <cell r="S79">
            <v>0.35</v>
          </cell>
          <cell r="T79">
            <v>0.05</v>
          </cell>
          <cell r="U79">
            <v>0.1</v>
          </cell>
          <cell r="V79">
            <v>0.1</v>
          </cell>
          <cell r="W79">
            <v>0</v>
          </cell>
          <cell r="X79">
            <v>458</v>
          </cell>
          <cell r="Y79" t="str">
            <v>SI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2</v>
          </cell>
          <cell r="AH79">
            <v>2</v>
          </cell>
          <cell r="AI79">
            <v>3</v>
          </cell>
          <cell r="AJ79">
            <v>0</v>
          </cell>
          <cell r="AK79">
            <v>8</v>
          </cell>
          <cell r="AL79">
            <v>5</v>
          </cell>
          <cell r="AM79">
            <v>12</v>
          </cell>
          <cell r="AN79">
            <v>453.6</v>
          </cell>
          <cell r="AO79">
            <v>495.6</v>
          </cell>
          <cell r="AP79">
            <v>471.15</v>
          </cell>
          <cell r="AQ79">
            <v>520.95000000000005</v>
          </cell>
          <cell r="AR79">
            <v>49.800000000000068</v>
          </cell>
          <cell r="AS79">
            <v>520.95000000000005</v>
          </cell>
          <cell r="AT79">
            <v>450</v>
          </cell>
        </row>
        <row r="80">
          <cell r="B80">
            <v>41218</v>
          </cell>
          <cell r="C80" t="str">
            <v>Ingeniería</v>
          </cell>
          <cell r="D80" t="str">
            <v xml:space="preserve">Concepción </v>
          </cell>
          <cell r="E80" t="str">
            <v>Presencial</v>
          </cell>
          <cell r="F80" t="str">
            <v>UNAB19202</v>
          </cell>
          <cell r="G80" t="str">
            <v>CON</v>
          </cell>
          <cell r="H80" t="str">
            <v>Ingeniería en Automatización y Robótica</v>
          </cell>
          <cell r="I80" t="e">
            <v>#N/A</v>
          </cell>
          <cell r="J80" t="str">
            <v>SI</v>
          </cell>
          <cell r="K80">
            <v>600</v>
          </cell>
          <cell r="L80" t="str">
            <v>550↓</v>
          </cell>
          <cell r="M80">
            <v>550</v>
          </cell>
          <cell r="N80">
            <v>1</v>
          </cell>
          <cell r="O80" t="str">
            <v>MANTENER</v>
          </cell>
          <cell r="P80">
            <v>0.3</v>
          </cell>
          <cell r="Q80">
            <v>0.1</v>
          </cell>
          <cell r="R80">
            <v>0.1</v>
          </cell>
          <cell r="S80">
            <v>0.35</v>
          </cell>
          <cell r="T80">
            <v>0.05</v>
          </cell>
          <cell r="U80">
            <v>0.1</v>
          </cell>
          <cell r="V80">
            <v>0.1</v>
          </cell>
          <cell r="W80">
            <v>0</v>
          </cell>
          <cell r="X80">
            <v>458</v>
          </cell>
          <cell r="Y80" t="str">
            <v>SI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2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509.6</v>
          </cell>
          <cell r="AQ80">
            <v>509.6</v>
          </cell>
          <cell r="AR80">
            <v>0</v>
          </cell>
          <cell r="AS80">
            <v>509.6</v>
          </cell>
          <cell r="AT80">
            <v>450</v>
          </cell>
        </row>
        <row r="81">
          <cell r="B81">
            <v>41187</v>
          </cell>
          <cell r="C81" t="str">
            <v>Ingeniería</v>
          </cell>
          <cell r="D81" t="str">
            <v>Santiago</v>
          </cell>
          <cell r="E81" t="str">
            <v>Semipresencial</v>
          </cell>
          <cell r="F81" t="str">
            <v>UNAB29202</v>
          </cell>
          <cell r="G81" t="str">
            <v>ANT</v>
          </cell>
          <cell r="H81" t="str">
            <v>Ingeniería en Automatización y Robótica (Vespertino)</v>
          </cell>
          <cell r="I81" t="e">
            <v>#N/A</v>
          </cell>
          <cell r="J81" t="str">
            <v>NO APLICA</v>
          </cell>
          <cell r="K81">
            <v>500</v>
          </cell>
          <cell r="L81" t="str">
            <v>Mantener</v>
          </cell>
          <cell r="M81">
            <v>500</v>
          </cell>
          <cell r="N81">
            <v>1</v>
          </cell>
          <cell r="O81" t="str">
            <v>MANTENER</v>
          </cell>
          <cell r="P81">
            <v>0.3</v>
          </cell>
          <cell r="Q81">
            <v>0.1</v>
          </cell>
          <cell r="R81">
            <v>0.1</v>
          </cell>
          <cell r="S81">
            <v>0.4</v>
          </cell>
          <cell r="T81" t="str">
            <v>-</v>
          </cell>
          <cell r="U81">
            <v>0.1</v>
          </cell>
          <cell r="V81">
            <v>0.1</v>
          </cell>
          <cell r="W81">
            <v>0</v>
          </cell>
          <cell r="X81">
            <v>458</v>
          </cell>
          <cell r="Y81" t="str">
            <v>NO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2</v>
          </cell>
          <cell r="AI81">
            <v>3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560.9</v>
          </cell>
          <cell r="AO81">
            <v>474.5</v>
          </cell>
          <cell r="AP81">
            <v>727.7</v>
          </cell>
          <cell r="AQ81">
            <v>450</v>
          </cell>
          <cell r="AR81">
            <v>-277.70000000000005</v>
          </cell>
          <cell r="AS81">
            <v>450</v>
          </cell>
          <cell r="AT81">
            <v>450</v>
          </cell>
        </row>
        <row r="82">
          <cell r="B82">
            <v>41006</v>
          </cell>
          <cell r="C82" t="str">
            <v>Ciencias de la Vida</v>
          </cell>
          <cell r="D82" t="str">
            <v>Santiago</v>
          </cell>
          <cell r="E82" t="str">
            <v>Presencial</v>
          </cell>
          <cell r="F82" t="str">
            <v>UNAB19980</v>
          </cell>
          <cell r="G82" t="str">
            <v>REP</v>
          </cell>
          <cell r="H82" t="str">
            <v>Ingeniería en Biotecnología</v>
          </cell>
          <cell r="I82" t="e">
            <v>#N/A</v>
          </cell>
          <cell r="J82" t="str">
            <v>NO APLICA</v>
          </cell>
          <cell r="K82">
            <v>600</v>
          </cell>
          <cell r="L82" t="str">
            <v>Mantener</v>
          </cell>
          <cell r="M82">
            <v>600</v>
          </cell>
          <cell r="N82">
            <v>1</v>
          </cell>
          <cell r="O82" t="str">
            <v>MANTENER</v>
          </cell>
          <cell r="P82">
            <v>0.2</v>
          </cell>
          <cell r="Q82">
            <v>0.25</v>
          </cell>
          <cell r="R82">
            <v>0.1</v>
          </cell>
          <cell r="S82">
            <v>0.2</v>
          </cell>
          <cell r="T82">
            <v>0.05</v>
          </cell>
          <cell r="U82" t="str">
            <v>-</v>
          </cell>
          <cell r="V82">
            <v>0.2</v>
          </cell>
          <cell r="W82">
            <v>0</v>
          </cell>
          <cell r="X82">
            <v>458</v>
          </cell>
          <cell r="Y82" t="str">
            <v>SI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10</v>
          </cell>
          <cell r="AG82">
            <v>1</v>
          </cell>
          <cell r="AH82">
            <v>2</v>
          </cell>
          <cell r="AI82">
            <v>3</v>
          </cell>
          <cell r="AJ82">
            <v>0</v>
          </cell>
          <cell r="AK82">
            <v>-10</v>
          </cell>
          <cell r="AL82">
            <v>-13</v>
          </cell>
          <cell r="AM82">
            <v>3</v>
          </cell>
          <cell r="AN82">
            <v>557.20000000000005</v>
          </cell>
          <cell r="AO82">
            <v>438.85</v>
          </cell>
          <cell r="AP82">
            <v>442.55</v>
          </cell>
          <cell r="AQ82">
            <v>461.45</v>
          </cell>
          <cell r="AR82">
            <v>18.899999999999977</v>
          </cell>
          <cell r="AS82">
            <v>461.45</v>
          </cell>
          <cell r="AT82">
            <v>510</v>
          </cell>
        </row>
        <row r="83">
          <cell r="B83">
            <v>41064</v>
          </cell>
          <cell r="C83" t="str">
            <v>Ciencias de la Vida</v>
          </cell>
          <cell r="D83" t="str">
            <v>Viña</v>
          </cell>
          <cell r="E83" t="str">
            <v>Presencial</v>
          </cell>
          <cell r="F83" t="str">
            <v>UNAB19980</v>
          </cell>
          <cell r="G83" t="str">
            <v>VIN</v>
          </cell>
          <cell r="H83" t="str">
            <v>Ingeniería en Biotecnología</v>
          </cell>
          <cell r="I83" t="e">
            <v>#N/A</v>
          </cell>
          <cell r="J83" t="str">
            <v>NO APLICA</v>
          </cell>
          <cell r="K83">
            <v>600</v>
          </cell>
          <cell r="L83" t="str">
            <v>Mantener</v>
          </cell>
          <cell r="M83">
            <v>600</v>
          </cell>
          <cell r="N83">
            <v>1</v>
          </cell>
          <cell r="O83" t="str">
            <v>MANTENER</v>
          </cell>
          <cell r="P83">
            <v>0.2</v>
          </cell>
          <cell r="Q83">
            <v>0.25</v>
          </cell>
          <cell r="R83">
            <v>0.1</v>
          </cell>
          <cell r="S83">
            <v>0.2</v>
          </cell>
          <cell r="T83">
            <v>0.05</v>
          </cell>
          <cell r="U83" t="str">
            <v>-</v>
          </cell>
          <cell r="V83">
            <v>0.2</v>
          </cell>
          <cell r="W83">
            <v>0</v>
          </cell>
          <cell r="X83">
            <v>458</v>
          </cell>
          <cell r="Y83" t="str">
            <v>SI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10</v>
          </cell>
          <cell r="AG83">
            <v>1</v>
          </cell>
          <cell r="AH83">
            <v>2</v>
          </cell>
          <cell r="AI83">
            <v>3</v>
          </cell>
          <cell r="AJ83">
            <v>0</v>
          </cell>
          <cell r="AK83">
            <v>-10</v>
          </cell>
          <cell r="AL83">
            <v>-13</v>
          </cell>
          <cell r="AM83">
            <v>3</v>
          </cell>
          <cell r="AN83">
            <v>494.4</v>
          </cell>
          <cell r="AO83">
            <v>457.65</v>
          </cell>
          <cell r="AP83">
            <v>508.05</v>
          </cell>
          <cell r="AQ83">
            <v>508.15</v>
          </cell>
          <cell r="AR83">
            <v>9.9999999999965894E-2</v>
          </cell>
          <cell r="AS83">
            <v>508.15</v>
          </cell>
          <cell r="AT83">
            <v>510</v>
          </cell>
        </row>
        <row r="84">
          <cell r="B84">
            <v>41048</v>
          </cell>
          <cell r="C84" t="str">
            <v>Ingeniería</v>
          </cell>
          <cell r="D84" t="str">
            <v>Santiago</v>
          </cell>
          <cell r="E84" t="str">
            <v>Presencial</v>
          </cell>
          <cell r="F84" t="str">
            <v>UNAB11500</v>
          </cell>
          <cell r="G84" t="str">
            <v>ANT</v>
          </cell>
          <cell r="H84" t="str">
            <v>Ingeniería en Computación e Informática</v>
          </cell>
          <cell r="I84" t="e">
            <v>#N/A</v>
          </cell>
          <cell r="J84" t="str">
            <v>SI</v>
          </cell>
          <cell r="K84">
            <v>550</v>
          </cell>
          <cell r="L84" t="str">
            <v>Mantener</v>
          </cell>
          <cell r="M84">
            <v>550</v>
          </cell>
          <cell r="N84">
            <v>1</v>
          </cell>
          <cell r="O84" t="str">
            <v>MANTENER</v>
          </cell>
          <cell r="P84">
            <v>0.3</v>
          </cell>
          <cell r="Q84">
            <v>0.15</v>
          </cell>
          <cell r="R84">
            <v>0.1</v>
          </cell>
          <cell r="S84">
            <v>0.3</v>
          </cell>
          <cell r="T84">
            <v>0.05</v>
          </cell>
          <cell r="U84">
            <v>0.1</v>
          </cell>
          <cell r="V84">
            <v>0.1</v>
          </cell>
          <cell r="W84">
            <v>0</v>
          </cell>
          <cell r="X84">
            <v>458</v>
          </cell>
          <cell r="Y84" t="str">
            <v>SI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2</v>
          </cell>
          <cell r="AI84">
            <v>3</v>
          </cell>
          <cell r="AJ84">
            <v>0</v>
          </cell>
          <cell r="AK84">
            <v>27</v>
          </cell>
          <cell r="AL84">
            <v>24</v>
          </cell>
          <cell r="AM84">
            <v>29</v>
          </cell>
          <cell r="AN84">
            <v>419.3</v>
          </cell>
          <cell r="AO84">
            <v>419.8</v>
          </cell>
          <cell r="AP84">
            <v>428.25</v>
          </cell>
          <cell r="AQ84">
            <v>457.35</v>
          </cell>
          <cell r="AR84">
            <v>29.100000000000023</v>
          </cell>
          <cell r="AS84">
            <v>457.35</v>
          </cell>
          <cell r="AT84">
            <v>450</v>
          </cell>
        </row>
        <row r="85">
          <cell r="B85">
            <v>41090</v>
          </cell>
          <cell r="C85" t="str">
            <v>Ingeniería</v>
          </cell>
          <cell r="D85" t="str">
            <v>Viña</v>
          </cell>
          <cell r="E85" t="str">
            <v>Presencial</v>
          </cell>
          <cell r="F85" t="str">
            <v>UNAB11500</v>
          </cell>
          <cell r="G85" t="str">
            <v>VIN</v>
          </cell>
          <cell r="H85" t="str">
            <v>Ingeniería en Computación e Informática</v>
          </cell>
          <cell r="I85" t="e">
            <v>#N/A</v>
          </cell>
          <cell r="J85" t="str">
            <v>SI</v>
          </cell>
          <cell r="K85">
            <v>550</v>
          </cell>
          <cell r="L85" t="str">
            <v>Mantener</v>
          </cell>
          <cell r="M85">
            <v>550</v>
          </cell>
          <cell r="N85">
            <v>1</v>
          </cell>
          <cell r="O85" t="str">
            <v>MANTENER</v>
          </cell>
          <cell r="P85">
            <v>0.3</v>
          </cell>
          <cell r="Q85">
            <v>0.15</v>
          </cell>
          <cell r="R85">
            <v>0.1</v>
          </cell>
          <cell r="S85">
            <v>0.3</v>
          </cell>
          <cell r="T85">
            <v>0.05</v>
          </cell>
          <cell r="U85">
            <v>0.1</v>
          </cell>
          <cell r="V85">
            <v>0.1</v>
          </cell>
          <cell r="W85">
            <v>0</v>
          </cell>
          <cell r="X85">
            <v>458</v>
          </cell>
          <cell r="Y85" t="str">
            <v>SI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2</v>
          </cell>
          <cell r="AI85">
            <v>3</v>
          </cell>
          <cell r="AJ85">
            <v>0</v>
          </cell>
          <cell r="AK85">
            <v>2</v>
          </cell>
          <cell r="AL85">
            <v>-1</v>
          </cell>
          <cell r="AM85">
            <v>4</v>
          </cell>
          <cell r="AN85">
            <v>469.9</v>
          </cell>
          <cell r="AO85">
            <v>481.1</v>
          </cell>
          <cell r="AP85">
            <v>449.45</v>
          </cell>
          <cell r="AQ85">
            <v>534.35</v>
          </cell>
          <cell r="AR85">
            <v>84.900000000000034</v>
          </cell>
          <cell r="AS85">
            <v>534.35</v>
          </cell>
          <cell r="AT85">
            <v>450</v>
          </cell>
        </row>
        <row r="86">
          <cell r="B86">
            <v>41189</v>
          </cell>
          <cell r="C86" t="str">
            <v>Ingeniería</v>
          </cell>
          <cell r="D86" t="str">
            <v>Santiago</v>
          </cell>
          <cell r="E86" t="str">
            <v>Online</v>
          </cell>
          <cell r="F86" t="str">
            <v>UNAB37130</v>
          </cell>
          <cell r="G86" t="str">
            <v>CCL</v>
          </cell>
          <cell r="H86" t="str">
            <v>Ingeniería en Computación e Informática (Vespertino)</v>
          </cell>
          <cell r="I86" t="e">
            <v>#N/A</v>
          </cell>
          <cell r="J86" t="str">
            <v>NO APLICA</v>
          </cell>
          <cell r="K86">
            <v>500</v>
          </cell>
          <cell r="L86" t="str">
            <v>Mantener</v>
          </cell>
          <cell r="M86">
            <v>500</v>
          </cell>
          <cell r="N86">
            <v>1</v>
          </cell>
          <cell r="O86" t="str">
            <v>MANTENER</v>
          </cell>
          <cell r="P86">
            <v>0.3</v>
          </cell>
          <cell r="Q86">
            <v>0.2</v>
          </cell>
          <cell r="R86">
            <v>0.1</v>
          </cell>
          <cell r="S86">
            <v>0.3</v>
          </cell>
          <cell r="T86" t="str">
            <v>-</v>
          </cell>
          <cell r="U86">
            <v>0.1</v>
          </cell>
          <cell r="V86">
            <v>0.1</v>
          </cell>
          <cell r="W86">
            <v>0</v>
          </cell>
          <cell r="X86">
            <v>458</v>
          </cell>
          <cell r="Y86" t="str">
            <v>NO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2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479.75</v>
          </cell>
          <cell r="AP86">
            <v>512.5</v>
          </cell>
          <cell r="AQ86">
            <v>450</v>
          </cell>
          <cell r="AR86">
            <v>-62.5</v>
          </cell>
          <cell r="AS86">
            <v>450</v>
          </cell>
          <cell r="AT86">
            <v>450</v>
          </cell>
        </row>
        <row r="87">
          <cell r="B87">
            <v>41049</v>
          </cell>
          <cell r="C87" t="str">
            <v>Ingeniería</v>
          </cell>
          <cell r="D87" t="str">
            <v>Santiago</v>
          </cell>
          <cell r="E87" t="str">
            <v>Presencial</v>
          </cell>
          <cell r="F87" t="str">
            <v>UNAB11400</v>
          </cell>
          <cell r="G87" t="str">
            <v>ANT</v>
          </cell>
          <cell r="H87" t="str">
            <v>Ingeniería en Construcción</v>
          </cell>
          <cell r="I87" t="e">
            <v>#N/A</v>
          </cell>
          <cell r="J87" t="str">
            <v>SI</v>
          </cell>
          <cell r="K87">
            <v>600</v>
          </cell>
          <cell r="L87" t="str">
            <v>Mantener</v>
          </cell>
          <cell r="M87">
            <v>600</v>
          </cell>
          <cell r="N87">
            <v>1</v>
          </cell>
          <cell r="O87" t="str">
            <v>MANTENER</v>
          </cell>
          <cell r="P87">
            <v>0.3</v>
          </cell>
          <cell r="Q87">
            <v>0.15</v>
          </cell>
          <cell r="R87">
            <v>0.1</v>
          </cell>
          <cell r="S87">
            <v>0.3</v>
          </cell>
          <cell r="T87">
            <v>0.05</v>
          </cell>
          <cell r="U87">
            <v>0.1</v>
          </cell>
          <cell r="V87">
            <v>0.1</v>
          </cell>
          <cell r="W87">
            <v>0</v>
          </cell>
          <cell r="X87">
            <v>458</v>
          </cell>
          <cell r="Y87" t="str">
            <v>SI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2</v>
          </cell>
          <cell r="AI87">
            <v>3</v>
          </cell>
          <cell r="AJ87">
            <v>0</v>
          </cell>
          <cell r="AK87">
            <v>11</v>
          </cell>
          <cell r="AL87">
            <v>8</v>
          </cell>
          <cell r="AM87">
            <v>13</v>
          </cell>
          <cell r="AN87">
            <v>441.7</v>
          </cell>
          <cell r="AO87">
            <v>442.6</v>
          </cell>
          <cell r="AP87">
            <v>432.35</v>
          </cell>
          <cell r="AQ87">
            <v>412.8</v>
          </cell>
          <cell r="AR87">
            <v>-19.550000000000011</v>
          </cell>
          <cell r="AS87">
            <v>412.8</v>
          </cell>
          <cell r="AT87">
            <v>450</v>
          </cell>
        </row>
        <row r="88">
          <cell r="B88">
            <v>41123</v>
          </cell>
          <cell r="C88" t="str">
            <v>Ingeniería</v>
          </cell>
          <cell r="D88" t="str">
            <v xml:space="preserve">Concepción </v>
          </cell>
          <cell r="E88" t="str">
            <v>Presencial</v>
          </cell>
          <cell r="F88" t="str">
            <v>UNAB14001</v>
          </cell>
          <cell r="G88" t="str">
            <v>CON</v>
          </cell>
          <cell r="H88" t="str">
            <v>Ingeniería en Marina Mercante </v>
          </cell>
          <cell r="I88" t="e">
            <v>#N/A</v>
          </cell>
          <cell r="J88" t="str">
            <v>SI</v>
          </cell>
          <cell r="K88">
            <v>550</v>
          </cell>
          <cell r="L88" t="str">
            <v>Mantener</v>
          </cell>
          <cell r="M88">
            <v>550</v>
          </cell>
          <cell r="N88">
            <v>1</v>
          </cell>
          <cell r="O88" t="str">
            <v>MANTENER</v>
          </cell>
          <cell r="P88">
            <v>0.3</v>
          </cell>
          <cell r="Q88">
            <v>0.15</v>
          </cell>
          <cell r="R88">
            <v>0.1</v>
          </cell>
          <cell r="S88">
            <v>0.3</v>
          </cell>
          <cell r="T88">
            <v>0.05</v>
          </cell>
          <cell r="U88">
            <v>0.1</v>
          </cell>
          <cell r="V88">
            <v>0.1</v>
          </cell>
          <cell r="W88">
            <v>0</v>
          </cell>
          <cell r="X88">
            <v>458</v>
          </cell>
          <cell r="Y88" t="str">
            <v>SI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2</v>
          </cell>
          <cell r="AH88">
            <v>2</v>
          </cell>
          <cell r="AI88">
            <v>3</v>
          </cell>
          <cell r="AJ88">
            <v>0</v>
          </cell>
          <cell r="AK88">
            <v>18</v>
          </cell>
          <cell r="AL88">
            <v>15</v>
          </cell>
          <cell r="AM88">
            <v>22</v>
          </cell>
          <cell r="AN88">
            <v>497.9</v>
          </cell>
          <cell r="AO88">
            <v>484.3</v>
          </cell>
          <cell r="AP88">
            <v>481.95</v>
          </cell>
          <cell r="AQ88">
            <v>459</v>
          </cell>
          <cell r="AR88">
            <v>-22.949999999999989</v>
          </cell>
          <cell r="AS88">
            <v>459</v>
          </cell>
          <cell r="AT88">
            <v>450</v>
          </cell>
        </row>
        <row r="89">
          <cell r="B89">
            <v>41091</v>
          </cell>
          <cell r="C89" t="str">
            <v>Ingeniería</v>
          </cell>
          <cell r="D89" t="str">
            <v>Viña</v>
          </cell>
          <cell r="E89" t="str">
            <v>Presencial</v>
          </cell>
          <cell r="F89" t="str">
            <v>UNAB14001</v>
          </cell>
          <cell r="G89" t="str">
            <v>VIN</v>
          </cell>
          <cell r="H89" t="str">
            <v>Ingeniería en Marina Mercante </v>
          </cell>
          <cell r="I89" t="e">
            <v>#N/A</v>
          </cell>
          <cell r="J89" t="str">
            <v>SI</v>
          </cell>
          <cell r="K89">
            <v>550</v>
          </cell>
          <cell r="L89" t="str">
            <v>Mantener</v>
          </cell>
          <cell r="M89">
            <v>550</v>
          </cell>
          <cell r="N89">
            <v>1</v>
          </cell>
          <cell r="O89" t="str">
            <v>MANTENER</v>
          </cell>
          <cell r="P89">
            <v>0.3</v>
          </cell>
          <cell r="Q89">
            <v>0.15</v>
          </cell>
          <cell r="R89">
            <v>0.1</v>
          </cell>
          <cell r="S89">
            <v>0.3</v>
          </cell>
          <cell r="T89">
            <v>0.05</v>
          </cell>
          <cell r="U89">
            <v>0.1</v>
          </cell>
          <cell r="V89">
            <v>0.1</v>
          </cell>
          <cell r="W89">
            <v>0</v>
          </cell>
          <cell r="X89">
            <v>458</v>
          </cell>
          <cell r="Y89" t="str">
            <v>SI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2</v>
          </cell>
          <cell r="AH89">
            <v>2</v>
          </cell>
          <cell r="AI89">
            <v>3</v>
          </cell>
          <cell r="AJ89">
            <v>0</v>
          </cell>
          <cell r="AK89">
            <v>26</v>
          </cell>
          <cell r="AL89">
            <v>23</v>
          </cell>
          <cell r="AM89">
            <v>30</v>
          </cell>
          <cell r="AN89">
            <v>491.2</v>
          </cell>
          <cell r="AO89">
            <v>465.5</v>
          </cell>
          <cell r="AP89">
            <v>505.85</v>
          </cell>
          <cell r="AQ89">
            <v>518.35</v>
          </cell>
          <cell r="AR89">
            <v>12.5</v>
          </cell>
          <cell r="AS89">
            <v>502.4</v>
          </cell>
          <cell r="AT89">
            <v>450</v>
          </cell>
        </row>
        <row r="90">
          <cell r="B90">
            <v>41217</v>
          </cell>
          <cell r="C90" t="str">
            <v>Economia y Negocios</v>
          </cell>
          <cell r="D90" t="str">
            <v>Santiago</v>
          </cell>
          <cell r="E90" t="str">
            <v>Presencial</v>
          </cell>
          <cell r="F90" t="str">
            <v>UNAB17107</v>
          </cell>
          <cell r="G90" t="str">
            <v>CAS</v>
          </cell>
          <cell r="H90" t="str">
            <v xml:space="preserve">Ingeniería en Negocios Internacionales </v>
          </cell>
          <cell r="I90" t="e">
            <v>#N/A</v>
          </cell>
          <cell r="J90" t="str">
            <v>NO APLICA</v>
          </cell>
          <cell r="K90">
            <v>550</v>
          </cell>
          <cell r="L90" t="str">
            <v>Mantener</v>
          </cell>
          <cell r="M90">
            <v>550</v>
          </cell>
          <cell r="N90">
            <v>1</v>
          </cell>
          <cell r="O90" t="str">
            <v>MANTENER</v>
          </cell>
          <cell r="P90">
            <v>0.1</v>
          </cell>
          <cell r="Q90">
            <v>0.4</v>
          </cell>
          <cell r="R90">
            <v>0.1</v>
          </cell>
          <cell r="S90">
            <v>0.3</v>
          </cell>
          <cell r="T90" t="str">
            <v>-</v>
          </cell>
          <cell r="U90">
            <v>0.1</v>
          </cell>
          <cell r="V90">
            <v>0.1</v>
          </cell>
          <cell r="W90">
            <v>0</v>
          </cell>
          <cell r="X90">
            <v>458</v>
          </cell>
          <cell r="Y90" t="str">
            <v>SI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2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696.5</v>
          </cell>
          <cell r="AQ90">
            <v>561.70000000000005</v>
          </cell>
          <cell r="AR90">
            <v>-134.79999999999995</v>
          </cell>
          <cell r="AS90">
            <v>472.5</v>
          </cell>
          <cell r="AT90">
            <v>450</v>
          </cell>
        </row>
        <row r="91">
          <cell r="B91">
            <v>41224</v>
          </cell>
          <cell r="C91" t="str">
            <v>Economia y Negocios</v>
          </cell>
          <cell r="D91" t="str">
            <v>Viña</v>
          </cell>
          <cell r="E91" t="str">
            <v>Presencial</v>
          </cell>
          <cell r="F91" t="str">
            <v>UNAB17107</v>
          </cell>
          <cell r="G91" t="str">
            <v>VIN</v>
          </cell>
          <cell r="H91" t="str">
            <v xml:space="preserve">Ingeniería en Negocios Internacionales </v>
          </cell>
          <cell r="I91" t="e">
            <v>#N/A</v>
          </cell>
          <cell r="J91" t="str">
            <v>NO APLICA</v>
          </cell>
          <cell r="K91">
            <v>550</v>
          </cell>
          <cell r="L91" t="str">
            <v>Mantener</v>
          </cell>
          <cell r="M91">
            <v>550</v>
          </cell>
          <cell r="N91">
            <v>1</v>
          </cell>
          <cell r="O91" t="str">
            <v>MANTENER</v>
          </cell>
          <cell r="P91">
            <v>0.1</v>
          </cell>
          <cell r="Q91">
            <v>0.4</v>
          </cell>
          <cell r="R91">
            <v>0.1</v>
          </cell>
          <cell r="S91">
            <v>0.3</v>
          </cell>
          <cell r="T91" t="str">
            <v>-</v>
          </cell>
          <cell r="U91">
            <v>0.1</v>
          </cell>
          <cell r="V91">
            <v>0.1</v>
          </cell>
          <cell r="W91">
            <v>0</v>
          </cell>
          <cell r="X91">
            <v>458</v>
          </cell>
          <cell r="Y91" t="str">
            <v>SI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2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476.8</v>
          </cell>
          <cell r="AR91">
            <v>476.8</v>
          </cell>
          <cell r="AS91">
            <v>476.8</v>
          </cell>
          <cell r="AT91">
            <v>450</v>
          </cell>
        </row>
        <row r="92">
          <cell r="B92">
            <v>41223</v>
          </cell>
          <cell r="C92" t="str">
            <v>Economia y Negocios</v>
          </cell>
          <cell r="D92" t="str">
            <v xml:space="preserve">Concepción </v>
          </cell>
          <cell r="E92" t="str">
            <v>Presencial</v>
          </cell>
          <cell r="F92" t="str">
            <v>UNAB17107</v>
          </cell>
          <cell r="G92" t="str">
            <v>CON</v>
          </cell>
          <cell r="H92" t="str">
            <v xml:space="preserve">Ingeniería en Negocios Internacionales </v>
          </cell>
          <cell r="I92" t="e">
            <v>#N/A</v>
          </cell>
          <cell r="J92" t="str">
            <v>NO APLICA</v>
          </cell>
          <cell r="K92">
            <v>550</v>
          </cell>
          <cell r="L92" t="str">
            <v>Mantener</v>
          </cell>
          <cell r="M92">
            <v>550</v>
          </cell>
          <cell r="N92">
            <v>1</v>
          </cell>
          <cell r="O92" t="str">
            <v>MANTENER</v>
          </cell>
          <cell r="P92">
            <v>0.1</v>
          </cell>
          <cell r="Q92">
            <v>0.4</v>
          </cell>
          <cell r="R92">
            <v>0.1</v>
          </cell>
          <cell r="S92">
            <v>0.3</v>
          </cell>
          <cell r="T92" t="str">
            <v>-</v>
          </cell>
          <cell r="U92">
            <v>0.1</v>
          </cell>
          <cell r="V92">
            <v>0.1</v>
          </cell>
          <cell r="W92">
            <v>0</v>
          </cell>
          <cell r="X92">
            <v>458</v>
          </cell>
          <cell r="Y92" t="str">
            <v>SI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2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509.9</v>
          </cell>
          <cell r="AR92">
            <v>509.9</v>
          </cell>
          <cell r="AS92">
            <v>509.9</v>
          </cell>
          <cell r="AT92">
            <v>450</v>
          </cell>
        </row>
        <row r="93">
          <cell r="B93">
            <v>41031</v>
          </cell>
          <cell r="C93" t="str">
            <v>Economia y Negocios</v>
          </cell>
          <cell r="D93" t="str">
            <v>Santiago</v>
          </cell>
          <cell r="E93" t="str">
            <v>Presencial</v>
          </cell>
          <cell r="F93" t="str">
            <v>UNAB19250</v>
          </cell>
          <cell r="G93" t="str">
            <v>CAS</v>
          </cell>
          <cell r="H93" t="str">
            <v>Ingeniería en Turismo y Hotelería</v>
          </cell>
          <cell r="I93" t="e">
            <v>#N/A</v>
          </cell>
          <cell r="J93" t="str">
            <v>NO APLICA</v>
          </cell>
          <cell r="K93">
            <v>550</v>
          </cell>
          <cell r="L93" t="str">
            <v>Mantener</v>
          </cell>
          <cell r="M93">
            <v>550</v>
          </cell>
          <cell r="N93">
            <v>1</v>
          </cell>
          <cell r="O93" t="str">
            <v>MANTENER</v>
          </cell>
          <cell r="P93">
            <v>0.1</v>
          </cell>
          <cell r="Q93">
            <v>0.4</v>
          </cell>
          <cell r="R93">
            <v>0.1</v>
          </cell>
          <cell r="S93">
            <v>0.3</v>
          </cell>
          <cell r="T93" t="str">
            <v>-</v>
          </cell>
          <cell r="U93">
            <v>0.1</v>
          </cell>
          <cell r="V93">
            <v>0.1</v>
          </cell>
          <cell r="W93">
            <v>0</v>
          </cell>
          <cell r="X93">
            <v>458</v>
          </cell>
          <cell r="Y93" t="str">
            <v>SI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2</v>
          </cell>
          <cell r="AH93">
            <v>2</v>
          </cell>
          <cell r="AI93">
            <v>3</v>
          </cell>
          <cell r="AJ93">
            <v>0</v>
          </cell>
          <cell r="AK93">
            <v>5</v>
          </cell>
          <cell r="AL93">
            <v>2</v>
          </cell>
          <cell r="AM93">
            <v>9</v>
          </cell>
          <cell r="AN93">
            <v>474.8</v>
          </cell>
          <cell r="AO93">
            <v>423.6</v>
          </cell>
          <cell r="AP93">
            <v>476.3</v>
          </cell>
          <cell r="AQ93">
            <v>488.1</v>
          </cell>
          <cell r="AR93">
            <v>11.800000000000011</v>
          </cell>
          <cell r="AS93">
            <v>488.1</v>
          </cell>
          <cell r="AT93">
            <v>450</v>
          </cell>
        </row>
        <row r="94">
          <cell r="B94">
            <v>41136</v>
          </cell>
          <cell r="C94" t="str">
            <v>Economia y Negocios</v>
          </cell>
          <cell r="D94" t="str">
            <v>Viña</v>
          </cell>
          <cell r="E94" t="str">
            <v>Presencial</v>
          </cell>
          <cell r="F94" t="str">
            <v>UNAB19250</v>
          </cell>
          <cell r="G94" t="str">
            <v>VIN</v>
          </cell>
          <cell r="H94" t="str">
            <v>Ingeniería en Turismo y Hotelería</v>
          </cell>
          <cell r="I94" t="e">
            <v>#N/A</v>
          </cell>
          <cell r="J94" t="str">
            <v>NO APLICA</v>
          </cell>
          <cell r="K94">
            <v>550</v>
          </cell>
          <cell r="L94" t="str">
            <v>Mantener</v>
          </cell>
          <cell r="M94">
            <v>550</v>
          </cell>
          <cell r="N94">
            <v>1</v>
          </cell>
          <cell r="O94" t="str">
            <v>MANTENER</v>
          </cell>
          <cell r="P94">
            <v>0.1</v>
          </cell>
          <cell r="Q94">
            <v>0.4</v>
          </cell>
          <cell r="R94">
            <v>0.1</v>
          </cell>
          <cell r="S94">
            <v>0.3</v>
          </cell>
          <cell r="T94" t="str">
            <v>-</v>
          </cell>
          <cell r="U94">
            <v>0.1</v>
          </cell>
          <cell r="V94">
            <v>0.1</v>
          </cell>
          <cell r="W94">
            <v>0</v>
          </cell>
          <cell r="X94">
            <v>458</v>
          </cell>
          <cell r="Y94" t="str">
            <v>SI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2</v>
          </cell>
          <cell r="AH94">
            <v>2</v>
          </cell>
          <cell r="AI94">
            <v>3</v>
          </cell>
          <cell r="AJ94">
            <v>0</v>
          </cell>
          <cell r="AK94">
            <v>1</v>
          </cell>
          <cell r="AL94">
            <v>-2</v>
          </cell>
          <cell r="AM94">
            <v>5</v>
          </cell>
          <cell r="AN94">
            <v>475.1</v>
          </cell>
          <cell r="AO94">
            <v>418.6</v>
          </cell>
          <cell r="AP94">
            <v>489.5</v>
          </cell>
          <cell r="AQ94">
            <v>545.1</v>
          </cell>
          <cell r="AR94">
            <v>55.600000000000023</v>
          </cell>
          <cell r="AS94">
            <v>545.1</v>
          </cell>
          <cell r="AT94">
            <v>450</v>
          </cell>
        </row>
        <row r="95">
          <cell r="B95">
            <v>41011</v>
          </cell>
          <cell r="C95" t="str">
            <v>Ciencias Exactas</v>
          </cell>
          <cell r="D95" t="str">
            <v>Santiago</v>
          </cell>
          <cell r="E95" t="str">
            <v>Presencial</v>
          </cell>
          <cell r="F95" t="str">
            <v>UNAB11380</v>
          </cell>
          <cell r="G95" t="str">
            <v>REP</v>
          </cell>
          <cell r="H95" t="str">
            <v>Ingeniería Física</v>
          </cell>
          <cell r="I95" t="e">
            <v>#N/A</v>
          </cell>
          <cell r="J95" t="str">
            <v>SI</v>
          </cell>
          <cell r="K95">
            <v>600</v>
          </cell>
          <cell r="L95" t="str">
            <v>550↓</v>
          </cell>
          <cell r="M95">
            <v>550</v>
          </cell>
          <cell r="N95">
            <v>1</v>
          </cell>
          <cell r="O95" t="str">
            <v>MANTENER</v>
          </cell>
          <cell r="P95">
            <v>0.2</v>
          </cell>
          <cell r="Q95">
            <v>0.25</v>
          </cell>
          <cell r="R95">
            <v>0.1</v>
          </cell>
          <cell r="S95">
            <v>0.3</v>
          </cell>
          <cell r="T95">
            <v>0.05</v>
          </cell>
          <cell r="U95" t="str">
            <v>-</v>
          </cell>
          <cell r="V95">
            <v>0.1</v>
          </cell>
          <cell r="W95">
            <v>0</v>
          </cell>
          <cell r="X95">
            <v>458</v>
          </cell>
          <cell r="Y95" t="str">
            <v>SI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10</v>
          </cell>
          <cell r="AG95">
            <v>0</v>
          </cell>
          <cell r="AH95">
            <v>2</v>
          </cell>
          <cell r="AI95">
            <v>3</v>
          </cell>
          <cell r="AJ95">
            <v>0</v>
          </cell>
          <cell r="AK95">
            <v>-10</v>
          </cell>
          <cell r="AL95">
            <v>-13</v>
          </cell>
          <cell r="AM95">
            <v>2</v>
          </cell>
          <cell r="AN95">
            <v>524.4</v>
          </cell>
          <cell r="AO95">
            <v>517.6</v>
          </cell>
          <cell r="AP95">
            <v>521.20000000000005</v>
          </cell>
          <cell r="AQ95">
            <v>553</v>
          </cell>
          <cell r="AR95">
            <v>31.799999999999955</v>
          </cell>
          <cell r="AS95">
            <v>553</v>
          </cell>
          <cell r="AT95">
            <v>555</v>
          </cell>
        </row>
        <row r="96">
          <cell r="B96">
            <v>41055</v>
          </cell>
          <cell r="C96" t="str">
            <v>Ingeniería</v>
          </cell>
          <cell r="D96" t="str">
            <v>Santiago</v>
          </cell>
          <cell r="E96" t="str">
            <v>Presencial</v>
          </cell>
          <cell r="F96" t="str">
            <v>UNAB12510</v>
          </cell>
          <cell r="G96" t="str">
            <v>ANT</v>
          </cell>
          <cell r="H96" t="str">
            <v>Ingeniería Industrial</v>
          </cell>
          <cell r="I96" t="e">
            <v>#N/A</v>
          </cell>
          <cell r="J96" t="str">
            <v>SI</v>
          </cell>
          <cell r="K96">
            <v>600</v>
          </cell>
          <cell r="L96" t="str">
            <v>550↓</v>
          </cell>
          <cell r="M96">
            <v>550</v>
          </cell>
          <cell r="N96">
            <v>1</v>
          </cell>
          <cell r="O96" t="str">
            <v>MANTENER</v>
          </cell>
          <cell r="P96">
            <v>0.3</v>
          </cell>
          <cell r="Q96">
            <v>0.15</v>
          </cell>
          <cell r="R96">
            <v>0.1</v>
          </cell>
          <cell r="S96">
            <v>0.3</v>
          </cell>
          <cell r="T96">
            <v>0.05</v>
          </cell>
          <cell r="U96">
            <v>0.1</v>
          </cell>
          <cell r="V96">
            <v>0.1</v>
          </cell>
          <cell r="W96">
            <v>0</v>
          </cell>
          <cell r="X96">
            <v>458</v>
          </cell>
          <cell r="Y96" t="str">
            <v>SI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2</v>
          </cell>
          <cell r="AI96">
            <v>3</v>
          </cell>
          <cell r="AJ96">
            <v>0</v>
          </cell>
          <cell r="AK96">
            <v>2</v>
          </cell>
          <cell r="AL96">
            <v>-1</v>
          </cell>
          <cell r="AM96">
            <v>4</v>
          </cell>
          <cell r="AN96">
            <v>411.4</v>
          </cell>
          <cell r="AO96">
            <v>449.2</v>
          </cell>
          <cell r="AP96">
            <v>416.05</v>
          </cell>
          <cell r="AQ96">
            <v>474.95</v>
          </cell>
          <cell r="AR96">
            <v>58.899999999999977</v>
          </cell>
          <cell r="AS96">
            <v>474.95</v>
          </cell>
          <cell r="AT96">
            <v>450</v>
          </cell>
        </row>
        <row r="97">
          <cell r="B97">
            <v>41188</v>
          </cell>
          <cell r="C97" t="str">
            <v>Ingeniería</v>
          </cell>
          <cell r="D97" t="str">
            <v>Santiago</v>
          </cell>
          <cell r="E97" t="str">
            <v>Online</v>
          </cell>
          <cell r="F97" t="str">
            <v>UNAB37129</v>
          </cell>
          <cell r="G97" t="str">
            <v>CCL</v>
          </cell>
          <cell r="H97" t="str">
            <v>Ingeniería Industrial (Vespertino)</v>
          </cell>
          <cell r="I97" t="e">
            <v>#N/A</v>
          </cell>
          <cell r="J97" t="str">
            <v>NO APLICA</v>
          </cell>
          <cell r="K97">
            <v>500</v>
          </cell>
          <cell r="L97" t="str">
            <v>Mantener</v>
          </cell>
          <cell r="M97">
            <v>500</v>
          </cell>
          <cell r="N97">
            <v>1</v>
          </cell>
          <cell r="O97" t="str">
            <v>MANTENER</v>
          </cell>
          <cell r="P97">
            <v>0.3</v>
          </cell>
          <cell r="Q97">
            <v>0.2</v>
          </cell>
          <cell r="R97">
            <v>0.1</v>
          </cell>
          <cell r="S97">
            <v>0.3</v>
          </cell>
          <cell r="T97" t="str">
            <v>-</v>
          </cell>
          <cell r="U97">
            <v>0.1</v>
          </cell>
          <cell r="V97">
            <v>0.1</v>
          </cell>
          <cell r="W97">
            <v>0</v>
          </cell>
          <cell r="X97">
            <v>458</v>
          </cell>
          <cell r="Y97" t="str">
            <v>NO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2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458.8</v>
          </cell>
          <cell r="AP97">
            <v>509.1</v>
          </cell>
          <cell r="AQ97">
            <v>450</v>
          </cell>
          <cell r="AR97">
            <v>-59.100000000000023</v>
          </cell>
          <cell r="AS97">
            <v>450</v>
          </cell>
          <cell r="AT97">
            <v>450</v>
          </cell>
        </row>
        <row r="98">
          <cell r="B98">
            <v>41221</v>
          </cell>
          <cell r="C98" t="str">
            <v>International College</v>
          </cell>
          <cell r="D98" t="str">
            <v>Santiago</v>
          </cell>
          <cell r="E98" t="str">
            <v>Presencial</v>
          </cell>
          <cell r="F98" t="str">
            <v>UNAB17200</v>
          </cell>
          <cell r="G98" t="str">
            <v>CAS</v>
          </cell>
          <cell r="H98" t="str">
            <v xml:space="preserve">International Business </v>
          </cell>
          <cell r="I98" t="str">
            <v>92 - International College</v>
          </cell>
          <cell r="J98" t="str">
            <v>NO APLICA</v>
          </cell>
          <cell r="K98">
            <v>550</v>
          </cell>
          <cell r="L98" t="str">
            <v>Mantener</v>
          </cell>
          <cell r="M98">
            <v>550</v>
          </cell>
          <cell r="N98">
            <v>1</v>
          </cell>
          <cell r="O98" t="str">
            <v>MANTENER</v>
          </cell>
          <cell r="P98">
            <v>0.1</v>
          </cell>
          <cell r="Q98">
            <v>0.4</v>
          </cell>
          <cell r="R98">
            <v>0.1</v>
          </cell>
          <cell r="S98">
            <v>0.3</v>
          </cell>
          <cell r="T98" t="str">
            <v>-</v>
          </cell>
          <cell r="U98">
            <v>0.1</v>
          </cell>
          <cell r="V98">
            <v>0.1</v>
          </cell>
          <cell r="W98">
            <v>0</v>
          </cell>
          <cell r="X98">
            <v>458</v>
          </cell>
          <cell r="Y98" t="str">
            <v>SI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700.8</v>
          </cell>
          <cell r="AR98">
            <v>700.8</v>
          </cell>
          <cell r="AS98">
            <v>510.5</v>
          </cell>
          <cell r="AT98">
            <v>500</v>
          </cell>
        </row>
        <row r="99">
          <cell r="B99">
            <v>41009</v>
          </cell>
          <cell r="C99" t="str">
            <v>Rehabilitación</v>
          </cell>
          <cell r="D99" t="str">
            <v>Santiago</v>
          </cell>
          <cell r="E99" t="str">
            <v>Presencial</v>
          </cell>
          <cell r="F99" t="str">
            <v>UNAB19300</v>
          </cell>
          <cell r="G99" t="str">
            <v>CAS</v>
          </cell>
          <cell r="H99" t="str">
            <v>Kinesiología</v>
          </cell>
          <cell r="I99" t="e">
            <v>#N/A</v>
          </cell>
          <cell r="J99" t="str">
            <v>NO APLICA</v>
          </cell>
          <cell r="K99">
            <v>650</v>
          </cell>
          <cell r="L99" t="str">
            <v>550↓↓</v>
          </cell>
          <cell r="M99">
            <v>550</v>
          </cell>
          <cell r="N99">
            <v>1</v>
          </cell>
          <cell r="O99" t="str">
            <v>MANTENER</v>
          </cell>
          <cell r="P99">
            <v>0.1</v>
          </cell>
          <cell r="Q99">
            <v>0.4</v>
          </cell>
          <cell r="R99">
            <v>0.2</v>
          </cell>
          <cell r="S99">
            <v>0.2</v>
          </cell>
          <cell r="T99" t="str">
            <v>-</v>
          </cell>
          <cell r="U99" t="str">
            <v>-</v>
          </cell>
          <cell r="V99">
            <v>0.1</v>
          </cell>
          <cell r="W99">
            <v>0</v>
          </cell>
          <cell r="X99">
            <v>458</v>
          </cell>
          <cell r="Y99" t="str">
            <v>SI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20</v>
          </cell>
          <cell r="AG99">
            <v>4</v>
          </cell>
          <cell r="AH99">
            <v>2</v>
          </cell>
          <cell r="AI99">
            <v>3</v>
          </cell>
          <cell r="AJ99">
            <v>0</v>
          </cell>
          <cell r="AK99">
            <v>31</v>
          </cell>
          <cell r="AL99">
            <v>28</v>
          </cell>
          <cell r="AM99">
            <v>57</v>
          </cell>
          <cell r="AN99">
            <v>598.1</v>
          </cell>
          <cell r="AO99">
            <v>617.1</v>
          </cell>
          <cell r="AP99">
            <v>559.4</v>
          </cell>
          <cell r="AQ99">
            <v>415.7</v>
          </cell>
          <cell r="AR99">
            <v>-143.69999999999999</v>
          </cell>
          <cell r="AS99">
            <v>415.7</v>
          </cell>
          <cell r="AT99">
            <v>450</v>
          </cell>
        </row>
        <row r="100">
          <cell r="B100">
            <v>41102</v>
          </cell>
          <cell r="C100" t="str">
            <v>Rehabilitación</v>
          </cell>
          <cell r="D100" t="str">
            <v xml:space="preserve">Concepción </v>
          </cell>
          <cell r="E100" t="str">
            <v>Presencial</v>
          </cell>
          <cell r="F100" t="str">
            <v>UNAB19300</v>
          </cell>
          <cell r="G100" t="str">
            <v>CON</v>
          </cell>
          <cell r="H100" t="str">
            <v>Kinesiología</v>
          </cell>
          <cell r="I100" t="e">
            <v>#N/A</v>
          </cell>
          <cell r="J100" t="str">
            <v>NO APLICA</v>
          </cell>
          <cell r="K100">
            <v>650</v>
          </cell>
          <cell r="L100" t="str">
            <v>550↓↓</v>
          </cell>
          <cell r="M100">
            <v>550</v>
          </cell>
          <cell r="N100">
            <v>1</v>
          </cell>
          <cell r="O100" t="str">
            <v>MANTENER</v>
          </cell>
          <cell r="P100">
            <v>0.1</v>
          </cell>
          <cell r="Q100">
            <v>0.4</v>
          </cell>
          <cell r="R100">
            <v>0.2</v>
          </cell>
          <cell r="S100">
            <v>0.2</v>
          </cell>
          <cell r="T100" t="str">
            <v>-</v>
          </cell>
          <cell r="U100" t="str">
            <v>-</v>
          </cell>
          <cell r="V100">
            <v>0.1</v>
          </cell>
          <cell r="W100">
            <v>0</v>
          </cell>
          <cell r="X100">
            <v>458</v>
          </cell>
          <cell r="Y100" t="str">
            <v>SI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10</v>
          </cell>
          <cell r="AG100">
            <v>4</v>
          </cell>
          <cell r="AH100">
            <v>2</v>
          </cell>
          <cell r="AI100">
            <v>3</v>
          </cell>
          <cell r="AJ100">
            <v>0</v>
          </cell>
          <cell r="AK100">
            <v>9</v>
          </cell>
          <cell r="AL100">
            <v>6</v>
          </cell>
          <cell r="AM100">
            <v>25</v>
          </cell>
          <cell r="AN100">
            <v>602.29999999999995</v>
          </cell>
          <cell r="AO100">
            <v>583.20000000000005</v>
          </cell>
          <cell r="AP100">
            <v>534.79999999999995</v>
          </cell>
          <cell r="AQ100">
            <v>464.3</v>
          </cell>
          <cell r="AR100">
            <v>-70.499999999999943</v>
          </cell>
          <cell r="AS100">
            <v>464.3</v>
          </cell>
          <cell r="AT100">
            <v>450</v>
          </cell>
        </row>
        <row r="101">
          <cell r="B101">
            <v>41066</v>
          </cell>
          <cell r="C101" t="str">
            <v>Rehabilitación</v>
          </cell>
          <cell r="D101" t="str">
            <v>Viña</v>
          </cell>
          <cell r="E101" t="str">
            <v>Presencial</v>
          </cell>
          <cell r="F101" t="str">
            <v>UNAB19300</v>
          </cell>
          <cell r="G101" t="str">
            <v>VIN</v>
          </cell>
          <cell r="H101" t="str">
            <v>Kinesiología</v>
          </cell>
          <cell r="I101" t="e">
            <v>#N/A</v>
          </cell>
          <cell r="J101" t="str">
            <v>NO APLICA</v>
          </cell>
          <cell r="K101">
            <v>650</v>
          </cell>
          <cell r="L101" t="str">
            <v>550↓↓</v>
          </cell>
          <cell r="M101">
            <v>550</v>
          </cell>
          <cell r="N101">
            <v>1</v>
          </cell>
          <cell r="O101" t="str">
            <v>MANTENER</v>
          </cell>
          <cell r="P101">
            <v>0.1</v>
          </cell>
          <cell r="Q101">
            <v>0.4</v>
          </cell>
          <cell r="R101">
            <v>0.2</v>
          </cell>
          <cell r="S101">
            <v>0.2</v>
          </cell>
          <cell r="T101" t="str">
            <v>-</v>
          </cell>
          <cell r="U101" t="str">
            <v>-</v>
          </cell>
          <cell r="V101">
            <v>0.1</v>
          </cell>
          <cell r="W101">
            <v>0</v>
          </cell>
          <cell r="X101">
            <v>458</v>
          </cell>
          <cell r="Y101" t="str">
            <v>SI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15</v>
          </cell>
          <cell r="AG101">
            <v>4</v>
          </cell>
          <cell r="AH101">
            <v>2</v>
          </cell>
          <cell r="AI101">
            <v>3</v>
          </cell>
          <cell r="AJ101">
            <v>0</v>
          </cell>
          <cell r="AK101">
            <v>24</v>
          </cell>
          <cell r="AL101">
            <v>21</v>
          </cell>
          <cell r="AM101">
            <v>45</v>
          </cell>
          <cell r="AN101">
            <v>576.29999999999995</v>
          </cell>
          <cell r="AO101">
            <v>596.1</v>
          </cell>
          <cell r="AP101">
            <v>565.79999999999995</v>
          </cell>
          <cell r="AQ101">
            <v>461.7</v>
          </cell>
          <cell r="AR101">
            <v>-104.09999999999997</v>
          </cell>
          <cell r="AS101">
            <v>461.7</v>
          </cell>
          <cell r="AT101">
            <v>450</v>
          </cell>
        </row>
        <row r="102">
          <cell r="B102">
            <v>0</v>
          </cell>
          <cell r="C102" t="str">
            <v>Educacion y Humanidades</v>
          </cell>
          <cell r="D102" t="str">
            <v>Santiago</v>
          </cell>
          <cell r="E102" t="str">
            <v>Online</v>
          </cell>
          <cell r="F102" t="str">
            <v>UNAB37271</v>
          </cell>
          <cell r="G102" t="str">
            <v>CCL</v>
          </cell>
          <cell r="H102" t="str">
            <v>Lic en Artes y Humanidades</v>
          </cell>
          <cell r="I102" t="str">
            <v>80 - Departamento de Humanidades</v>
          </cell>
          <cell r="J102" t="str">
            <v>NO APLICA</v>
          </cell>
          <cell r="K102" t="str">
            <v>NO</v>
          </cell>
          <cell r="L102" t="str">
            <v>NO</v>
          </cell>
          <cell r="M102" t="str">
            <v>NO</v>
          </cell>
          <cell r="N102" t="str">
            <v>NO</v>
          </cell>
          <cell r="O102" t="str">
            <v>MANTENER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 t="str">
            <v>-</v>
          </cell>
          <cell r="U102" t="str">
            <v>-</v>
          </cell>
          <cell r="V102" t="str">
            <v>-</v>
          </cell>
          <cell r="W102">
            <v>0</v>
          </cell>
          <cell r="X102">
            <v>0</v>
          </cell>
          <cell r="Y102" t="str">
            <v>NO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 t="str">
            <v>-</v>
          </cell>
          <cell r="AR102" t="str">
            <v>-</v>
          </cell>
          <cell r="AS102" t="str">
            <v>-</v>
          </cell>
          <cell r="AT102" t="str">
            <v>-</v>
          </cell>
        </row>
        <row r="103">
          <cell r="B103">
            <v>41012</v>
          </cell>
          <cell r="C103" t="str">
            <v>Ciencias Exactas</v>
          </cell>
          <cell r="D103" t="str">
            <v>Santiago</v>
          </cell>
          <cell r="E103" t="str">
            <v>Presencial</v>
          </cell>
          <cell r="F103" t="str">
            <v>UNAB19205</v>
          </cell>
          <cell r="G103" t="str">
            <v>REP</v>
          </cell>
          <cell r="H103" t="str">
            <v>Licenciatura en Astronomía</v>
          </cell>
          <cell r="I103" t="e">
            <v>#N/A</v>
          </cell>
          <cell r="J103" t="str">
            <v>SI</v>
          </cell>
          <cell r="K103">
            <v>600</v>
          </cell>
          <cell r="L103" t="str">
            <v>550↓</v>
          </cell>
          <cell r="M103">
            <v>550</v>
          </cell>
          <cell r="N103">
            <v>1</v>
          </cell>
          <cell r="O103" t="str">
            <v>MANTENER</v>
          </cell>
          <cell r="P103">
            <v>0.1</v>
          </cell>
          <cell r="Q103">
            <v>0.1</v>
          </cell>
          <cell r="R103">
            <v>0.1</v>
          </cell>
          <cell r="S103">
            <v>0.55000000000000004</v>
          </cell>
          <cell r="T103">
            <v>0.05</v>
          </cell>
          <cell r="U103" t="str">
            <v>-</v>
          </cell>
          <cell r="V103">
            <v>0.1</v>
          </cell>
          <cell r="W103">
            <v>0</v>
          </cell>
          <cell r="X103">
            <v>458</v>
          </cell>
          <cell r="Y103" t="str">
            <v>SI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5</v>
          </cell>
          <cell r="AG103">
            <v>0</v>
          </cell>
          <cell r="AH103">
            <v>2</v>
          </cell>
          <cell r="AI103">
            <v>3</v>
          </cell>
          <cell r="AJ103">
            <v>0</v>
          </cell>
          <cell r="AK103">
            <v>3</v>
          </cell>
          <cell r="AL103">
            <v>0</v>
          </cell>
          <cell r="AM103">
            <v>10</v>
          </cell>
          <cell r="AN103">
            <v>470.1</v>
          </cell>
          <cell r="AO103">
            <v>508.6</v>
          </cell>
          <cell r="AP103">
            <v>508.8</v>
          </cell>
          <cell r="AQ103">
            <v>466.3</v>
          </cell>
          <cell r="AR103">
            <v>-42.5</v>
          </cell>
          <cell r="AS103">
            <v>466.3</v>
          </cell>
          <cell r="AT103">
            <v>470</v>
          </cell>
        </row>
        <row r="104">
          <cell r="B104">
            <v>41219</v>
          </cell>
          <cell r="C104" t="str">
            <v>Ciencias Exactas</v>
          </cell>
          <cell r="D104" t="str">
            <v xml:space="preserve">Concepción </v>
          </cell>
          <cell r="E104" t="str">
            <v>Presencial</v>
          </cell>
          <cell r="F104" t="str">
            <v>UNAB19205</v>
          </cell>
          <cell r="G104" t="str">
            <v>CON</v>
          </cell>
          <cell r="H104" t="str">
            <v>Licenciatura en Astronomía</v>
          </cell>
          <cell r="I104" t="e">
            <v>#N/A</v>
          </cell>
          <cell r="J104" t="str">
            <v>SI</v>
          </cell>
          <cell r="K104">
            <v>600</v>
          </cell>
          <cell r="L104" t="str">
            <v>550↓</v>
          </cell>
          <cell r="M104">
            <v>550</v>
          </cell>
          <cell r="N104">
            <v>1</v>
          </cell>
          <cell r="O104" t="str">
            <v>MANTENER</v>
          </cell>
          <cell r="P104">
            <v>0.1</v>
          </cell>
          <cell r="Q104">
            <v>0.1</v>
          </cell>
          <cell r="R104">
            <v>0.1</v>
          </cell>
          <cell r="S104">
            <v>0.55000000000000004</v>
          </cell>
          <cell r="T104">
            <v>0.05</v>
          </cell>
          <cell r="U104" t="str">
            <v>-</v>
          </cell>
          <cell r="V104">
            <v>0.1</v>
          </cell>
          <cell r="W104">
            <v>0</v>
          </cell>
          <cell r="X104">
            <v>458</v>
          </cell>
          <cell r="Y104" t="str">
            <v>SI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2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458.2</v>
          </cell>
          <cell r="AQ104">
            <v>457.6</v>
          </cell>
          <cell r="AR104">
            <v>-0.59999999999996589</v>
          </cell>
          <cell r="AS104">
            <v>457.6</v>
          </cell>
          <cell r="AT104">
            <v>460</v>
          </cell>
        </row>
        <row r="105">
          <cell r="B105">
            <v>41013</v>
          </cell>
          <cell r="C105" t="str">
            <v>Ciencias Exactas</v>
          </cell>
          <cell r="D105" t="str">
            <v>Santiago</v>
          </cell>
          <cell r="E105" t="str">
            <v>Presencial</v>
          </cell>
          <cell r="F105" t="str">
            <v>UNAB11390</v>
          </cell>
          <cell r="G105" t="str">
            <v>REP</v>
          </cell>
          <cell r="H105" t="str">
            <v>Licenciatura en Física</v>
          </cell>
          <cell r="I105" t="e">
            <v>#N/A</v>
          </cell>
          <cell r="J105" t="str">
            <v>SI</v>
          </cell>
          <cell r="K105">
            <v>600</v>
          </cell>
          <cell r="L105" t="str">
            <v>550↓</v>
          </cell>
          <cell r="M105">
            <v>550</v>
          </cell>
          <cell r="N105">
            <v>1</v>
          </cell>
          <cell r="O105" t="str">
            <v>MANTENER</v>
          </cell>
          <cell r="P105">
            <v>0.2</v>
          </cell>
          <cell r="Q105">
            <v>0.25</v>
          </cell>
          <cell r="R105">
            <v>0.1</v>
          </cell>
          <cell r="S105">
            <v>0.3</v>
          </cell>
          <cell r="T105">
            <v>0.05</v>
          </cell>
          <cell r="U105" t="str">
            <v>-</v>
          </cell>
          <cell r="V105">
            <v>0.1</v>
          </cell>
          <cell r="W105">
            <v>0</v>
          </cell>
          <cell r="X105">
            <v>458</v>
          </cell>
          <cell r="Y105" t="str">
            <v>SI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10</v>
          </cell>
          <cell r="AG105">
            <v>0</v>
          </cell>
          <cell r="AH105">
            <v>2</v>
          </cell>
          <cell r="AI105">
            <v>3</v>
          </cell>
          <cell r="AJ105">
            <v>0</v>
          </cell>
          <cell r="AK105">
            <v>-10</v>
          </cell>
          <cell r="AL105">
            <v>-13</v>
          </cell>
          <cell r="AM105">
            <v>2</v>
          </cell>
          <cell r="AN105">
            <v>537.29999999999995</v>
          </cell>
          <cell r="AO105">
            <v>422.6</v>
          </cell>
          <cell r="AP105">
            <v>484.4</v>
          </cell>
          <cell r="AQ105">
            <v>480.1</v>
          </cell>
          <cell r="AR105">
            <v>-4.2999999999999545</v>
          </cell>
          <cell r="AS105">
            <v>480.1</v>
          </cell>
          <cell r="AT105">
            <v>480</v>
          </cell>
        </row>
        <row r="106">
          <cell r="B106">
            <v>41039</v>
          </cell>
          <cell r="C106" t="str">
            <v>Educacion y Humanidades</v>
          </cell>
          <cell r="D106" t="str">
            <v>Santiago</v>
          </cell>
          <cell r="E106" t="str">
            <v>Presencial</v>
          </cell>
          <cell r="F106" t="str">
            <v>UNAB12310</v>
          </cell>
          <cell r="G106" t="str">
            <v>REP</v>
          </cell>
          <cell r="H106" t="str">
            <v>Licenciatura en Historia</v>
          </cell>
          <cell r="I106" t="str">
            <v>80 - Departamento de Humanidades</v>
          </cell>
          <cell r="J106" t="str">
            <v>NO APLICA</v>
          </cell>
          <cell r="K106">
            <v>550</v>
          </cell>
          <cell r="L106" t="str">
            <v>Mantener</v>
          </cell>
          <cell r="M106" t="str">
            <v>NO</v>
          </cell>
          <cell r="N106" t="str">
            <v>NO</v>
          </cell>
          <cell r="O106" t="str">
            <v>P.CIERRE</v>
          </cell>
          <cell r="P106">
            <v>0.2</v>
          </cell>
          <cell r="Q106">
            <v>0.3</v>
          </cell>
          <cell r="R106">
            <v>0.2</v>
          </cell>
          <cell r="S106">
            <v>0.2</v>
          </cell>
          <cell r="T106" t="str">
            <v>-</v>
          </cell>
          <cell r="U106">
            <v>0.1</v>
          </cell>
          <cell r="V106">
            <v>0.1</v>
          </cell>
          <cell r="W106">
            <v>0</v>
          </cell>
          <cell r="X106">
            <v>458</v>
          </cell>
          <cell r="Y106" t="str">
            <v>SI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2</v>
          </cell>
          <cell r="AI106">
            <v>3</v>
          </cell>
          <cell r="AJ106">
            <v>0</v>
          </cell>
          <cell r="AK106">
            <v>3</v>
          </cell>
          <cell r="AL106">
            <v>0</v>
          </cell>
          <cell r="AM106">
            <v>5</v>
          </cell>
          <cell r="AN106">
            <v>490.2</v>
          </cell>
          <cell r="AO106">
            <v>549.29999999999995</v>
          </cell>
          <cell r="AP106">
            <v>525.70000000000005</v>
          </cell>
          <cell r="AQ106">
            <v>589.5</v>
          </cell>
          <cell r="AR106">
            <v>63.799999999999955</v>
          </cell>
          <cell r="AS106">
            <v>589.5</v>
          </cell>
          <cell r="AT106" t="str">
            <v>-</v>
          </cell>
        </row>
        <row r="107">
          <cell r="B107">
            <v>41040</v>
          </cell>
          <cell r="C107" t="str">
            <v>Educacion y Humanidades</v>
          </cell>
          <cell r="D107" t="str">
            <v>Santiago</v>
          </cell>
          <cell r="E107" t="str">
            <v>Presencial</v>
          </cell>
          <cell r="F107" t="str">
            <v>UNAB12372</v>
          </cell>
          <cell r="G107" t="str">
            <v>REP</v>
          </cell>
          <cell r="H107" t="str">
            <v>Licenciatura en Letras</v>
          </cell>
          <cell r="I107" t="str">
            <v>80 - Departamento de Humanidades</v>
          </cell>
          <cell r="J107" t="str">
            <v>NO APLICA</v>
          </cell>
          <cell r="K107">
            <v>600</v>
          </cell>
          <cell r="L107" t="str">
            <v>550↓</v>
          </cell>
          <cell r="M107" t="str">
            <v>NO</v>
          </cell>
          <cell r="N107" t="str">
            <v>NO</v>
          </cell>
          <cell r="O107" t="str">
            <v>P.CIERRE</v>
          </cell>
          <cell r="P107">
            <v>0.2</v>
          </cell>
          <cell r="Q107">
            <v>0.3</v>
          </cell>
          <cell r="R107">
            <v>0.2</v>
          </cell>
          <cell r="S107">
            <v>0.2</v>
          </cell>
          <cell r="T107" t="str">
            <v>-</v>
          </cell>
          <cell r="U107">
            <v>0.1</v>
          </cell>
          <cell r="V107">
            <v>0.1</v>
          </cell>
          <cell r="W107">
            <v>0</v>
          </cell>
          <cell r="X107">
            <v>458</v>
          </cell>
          <cell r="Y107" t="str">
            <v>SI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2</v>
          </cell>
          <cell r="AI107">
            <v>3</v>
          </cell>
          <cell r="AJ107">
            <v>0</v>
          </cell>
          <cell r="AK107">
            <v>3</v>
          </cell>
          <cell r="AL107">
            <v>0</v>
          </cell>
          <cell r="AM107">
            <v>5</v>
          </cell>
          <cell r="AN107">
            <v>451.2</v>
          </cell>
          <cell r="AO107">
            <v>491.4</v>
          </cell>
          <cell r="AP107">
            <v>473.7</v>
          </cell>
          <cell r="AQ107">
            <v>561.79999999999995</v>
          </cell>
          <cell r="AR107">
            <v>88.099999999999966</v>
          </cell>
          <cell r="AS107">
            <v>561.79999999999995</v>
          </cell>
          <cell r="AT107" t="str">
            <v>-</v>
          </cell>
        </row>
        <row r="108">
          <cell r="B108">
            <v>41164</v>
          </cell>
          <cell r="C108" t="str">
            <v>Medicina</v>
          </cell>
          <cell r="D108" t="str">
            <v xml:space="preserve">Concepción </v>
          </cell>
          <cell r="E108" t="str">
            <v>Presencial</v>
          </cell>
          <cell r="F108" t="str">
            <v>UNAB19710</v>
          </cell>
          <cell r="G108" t="str">
            <v>CON</v>
          </cell>
          <cell r="H108" t="str">
            <v>Medicina</v>
          </cell>
          <cell r="I108" t="e">
            <v>#N/A</v>
          </cell>
          <cell r="J108" t="str">
            <v>NO APLICA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NO</v>
          </cell>
          <cell r="O108" t="str">
            <v>MANTENER</v>
          </cell>
          <cell r="P108">
            <v>0.1</v>
          </cell>
          <cell r="Q108">
            <v>0.3</v>
          </cell>
          <cell r="R108">
            <v>0.15</v>
          </cell>
          <cell r="S108">
            <v>0.2</v>
          </cell>
          <cell r="T108" t="str">
            <v>-</v>
          </cell>
          <cell r="U108" t="str">
            <v>-</v>
          </cell>
          <cell r="V108">
            <v>0.25</v>
          </cell>
          <cell r="W108">
            <v>0</v>
          </cell>
          <cell r="X108">
            <v>458</v>
          </cell>
          <cell r="Y108" t="str">
            <v>SI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10</v>
          </cell>
          <cell r="AG108">
            <v>0</v>
          </cell>
          <cell r="AH108">
            <v>0</v>
          </cell>
          <cell r="AI108">
            <v>4</v>
          </cell>
          <cell r="AJ108">
            <v>0</v>
          </cell>
          <cell r="AK108">
            <v>-4</v>
          </cell>
          <cell r="AL108">
            <v>-8</v>
          </cell>
          <cell r="AM108">
            <v>6</v>
          </cell>
          <cell r="AN108">
            <v>863.65</v>
          </cell>
          <cell r="AO108">
            <v>872.15</v>
          </cell>
          <cell r="AP108">
            <v>643.1</v>
          </cell>
          <cell r="AQ108">
            <v>882.8</v>
          </cell>
          <cell r="AR108">
            <v>239.69999999999993</v>
          </cell>
          <cell r="AS108">
            <v>882.8</v>
          </cell>
          <cell r="AT108">
            <v>885</v>
          </cell>
        </row>
        <row r="109">
          <cell r="B109">
            <v>41056</v>
          </cell>
          <cell r="C109" t="str">
            <v>Medicina</v>
          </cell>
          <cell r="D109" t="str">
            <v>Santiago</v>
          </cell>
          <cell r="E109" t="str">
            <v>Presencial</v>
          </cell>
          <cell r="F109" t="str">
            <v>UNAB19710</v>
          </cell>
          <cell r="G109" t="str">
            <v>REP</v>
          </cell>
          <cell r="H109" t="str">
            <v>Medicina</v>
          </cell>
          <cell r="I109" t="e">
            <v>#N/A</v>
          </cell>
          <cell r="J109" t="str">
            <v>NO APLICA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NO</v>
          </cell>
          <cell r="O109" t="str">
            <v>MANTENER</v>
          </cell>
          <cell r="P109">
            <v>0.1</v>
          </cell>
          <cell r="Q109">
            <v>0.3</v>
          </cell>
          <cell r="R109">
            <v>0.15</v>
          </cell>
          <cell r="S109">
            <v>0.2</v>
          </cell>
          <cell r="T109" t="str">
            <v>-</v>
          </cell>
          <cell r="U109" t="str">
            <v>-</v>
          </cell>
          <cell r="V109">
            <v>0.25</v>
          </cell>
          <cell r="W109">
            <v>0</v>
          </cell>
          <cell r="X109">
            <v>458</v>
          </cell>
          <cell r="Y109" t="str">
            <v>SI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20</v>
          </cell>
          <cell r="AG109">
            <v>0</v>
          </cell>
          <cell r="AH109">
            <v>0</v>
          </cell>
          <cell r="AI109">
            <v>4</v>
          </cell>
          <cell r="AJ109">
            <v>0</v>
          </cell>
          <cell r="AK109">
            <v>0</v>
          </cell>
          <cell r="AL109">
            <v>-4</v>
          </cell>
          <cell r="AM109">
            <v>20</v>
          </cell>
          <cell r="AN109">
            <v>887.2</v>
          </cell>
          <cell r="AO109">
            <v>894.55</v>
          </cell>
          <cell r="AP109">
            <v>896.3</v>
          </cell>
          <cell r="AQ109">
            <v>903.8</v>
          </cell>
          <cell r="AR109">
            <v>7.5</v>
          </cell>
          <cell r="AS109">
            <v>903.8</v>
          </cell>
          <cell r="AT109">
            <v>910</v>
          </cell>
        </row>
        <row r="110">
          <cell r="B110">
            <v>41095</v>
          </cell>
          <cell r="C110" t="str">
            <v>Medicina</v>
          </cell>
          <cell r="D110" t="str">
            <v>Viña</v>
          </cell>
          <cell r="E110" t="str">
            <v>Presencial</v>
          </cell>
          <cell r="F110" t="str">
            <v>UNAB19710</v>
          </cell>
          <cell r="G110" t="str">
            <v>VIN</v>
          </cell>
          <cell r="H110" t="str">
            <v>Medicina</v>
          </cell>
          <cell r="I110" t="e">
            <v>#N/A</v>
          </cell>
          <cell r="J110" t="str">
            <v>NO APLICA</v>
          </cell>
          <cell r="K110" t="str">
            <v>NO</v>
          </cell>
          <cell r="L110" t="str">
            <v>NO</v>
          </cell>
          <cell r="M110" t="str">
            <v>NO</v>
          </cell>
          <cell r="N110" t="str">
            <v>NO</v>
          </cell>
          <cell r="O110" t="str">
            <v>MANTENER</v>
          </cell>
          <cell r="P110">
            <v>0.1</v>
          </cell>
          <cell r="Q110">
            <v>0.3</v>
          </cell>
          <cell r="R110">
            <v>0.15</v>
          </cell>
          <cell r="S110">
            <v>0.2</v>
          </cell>
          <cell r="T110" t="str">
            <v>-</v>
          </cell>
          <cell r="U110" t="str">
            <v>-</v>
          </cell>
          <cell r="V110">
            <v>0.25</v>
          </cell>
          <cell r="W110">
            <v>0</v>
          </cell>
          <cell r="X110">
            <v>458</v>
          </cell>
          <cell r="Y110" t="str">
            <v>SI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12</v>
          </cell>
          <cell r="AG110">
            <v>0</v>
          </cell>
          <cell r="AH110">
            <v>0</v>
          </cell>
          <cell r="AI110">
            <v>4</v>
          </cell>
          <cell r="AJ110">
            <v>0</v>
          </cell>
          <cell r="AK110">
            <v>-2</v>
          </cell>
          <cell r="AL110">
            <v>-6</v>
          </cell>
          <cell r="AM110">
            <v>10</v>
          </cell>
          <cell r="AN110">
            <v>876.3</v>
          </cell>
          <cell r="AO110">
            <v>887.5</v>
          </cell>
          <cell r="AP110">
            <v>885.75</v>
          </cell>
          <cell r="AQ110">
            <v>890.5</v>
          </cell>
          <cell r="AR110">
            <v>4.75</v>
          </cell>
          <cell r="AS110">
            <v>632.15</v>
          </cell>
          <cell r="AT110">
            <v>891</v>
          </cell>
        </row>
        <row r="111">
          <cell r="B111">
            <v>41228</v>
          </cell>
          <cell r="C111" t="str">
            <v>Medicina</v>
          </cell>
          <cell r="D111" t="str">
            <v>Santiago</v>
          </cell>
          <cell r="E111" t="str">
            <v>Presencial</v>
          </cell>
          <cell r="F111" t="str">
            <v>UNAB19710</v>
          </cell>
          <cell r="G111" t="str">
            <v>CAS</v>
          </cell>
          <cell r="H111" t="str">
            <v>Medicina</v>
          </cell>
          <cell r="I111" t="e">
            <v>#N/A</v>
          </cell>
          <cell r="J111" t="str">
            <v>NO APLICA</v>
          </cell>
          <cell r="K111" t="str">
            <v>NO</v>
          </cell>
          <cell r="L111" t="str">
            <v>NO</v>
          </cell>
          <cell r="M111" t="str">
            <v>NO</v>
          </cell>
          <cell r="N111" t="str">
            <v>NO</v>
          </cell>
          <cell r="O111" t="str">
            <v>NUEVA</v>
          </cell>
          <cell r="P111">
            <v>0.1</v>
          </cell>
          <cell r="Q111">
            <v>0.3</v>
          </cell>
          <cell r="R111">
            <v>0.15</v>
          </cell>
          <cell r="S111">
            <v>0.2</v>
          </cell>
          <cell r="T111" t="str">
            <v>-</v>
          </cell>
          <cell r="U111" t="str">
            <v>-</v>
          </cell>
          <cell r="V111">
            <v>0.25</v>
          </cell>
          <cell r="W111">
            <v>0</v>
          </cell>
          <cell r="X111">
            <v>458</v>
          </cell>
          <cell r="Y111" t="str">
            <v>SI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904</v>
          </cell>
          <cell r="AR111">
            <v>904</v>
          </cell>
          <cell r="AS111">
            <v>903.8</v>
          </cell>
          <cell r="AT111">
            <v>910</v>
          </cell>
        </row>
        <row r="112">
          <cell r="B112">
            <v>41197</v>
          </cell>
          <cell r="C112" t="str">
            <v>Ciencias de la Vida</v>
          </cell>
          <cell r="D112" t="str">
            <v xml:space="preserve">Concepción </v>
          </cell>
          <cell r="E112" t="str">
            <v>Presencial</v>
          </cell>
          <cell r="F112" t="str">
            <v>UNAB19150</v>
          </cell>
          <cell r="G112" t="str">
            <v>CON</v>
          </cell>
          <cell r="H112" t="str">
            <v>Medicina Veterinaria</v>
          </cell>
          <cell r="I112" t="e">
            <v>#N/A</v>
          </cell>
          <cell r="J112" t="str">
            <v>NO APLICA</v>
          </cell>
          <cell r="K112">
            <v>650</v>
          </cell>
          <cell r="L112" t="str">
            <v>550↓↓</v>
          </cell>
          <cell r="M112">
            <v>550</v>
          </cell>
          <cell r="N112">
            <v>1</v>
          </cell>
          <cell r="O112" t="str">
            <v>MANTENER</v>
          </cell>
          <cell r="P112">
            <v>0.2</v>
          </cell>
          <cell r="Q112">
            <v>0.1</v>
          </cell>
          <cell r="R112">
            <v>0.1</v>
          </cell>
          <cell r="S112">
            <v>0.3</v>
          </cell>
          <cell r="T112" t="str">
            <v>-</v>
          </cell>
          <cell r="U112" t="str">
            <v>-</v>
          </cell>
          <cell r="V112">
            <v>0.3</v>
          </cell>
          <cell r="W112">
            <v>0</v>
          </cell>
          <cell r="X112">
            <v>458</v>
          </cell>
          <cell r="Y112" t="str">
            <v>SI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10</v>
          </cell>
          <cell r="AG112">
            <v>3</v>
          </cell>
          <cell r="AH112">
            <v>2</v>
          </cell>
          <cell r="AI112">
            <v>3</v>
          </cell>
          <cell r="AJ112">
            <v>0</v>
          </cell>
          <cell r="AK112">
            <v>7</v>
          </cell>
          <cell r="AL112">
            <v>4</v>
          </cell>
          <cell r="AM112">
            <v>22</v>
          </cell>
          <cell r="AN112">
            <v>556</v>
          </cell>
          <cell r="AO112">
            <v>550.70000000000005</v>
          </cell>
          <cell r="AP112">
            <v>498</v>
          </cell>
          <cell r="AQ112">
            <v>448.7</v>
          </cell>
          <cell r="AR112">
            <v>-49.300000000000011</v>
          </cell>
          <cell r="AS112">
            <v>448.7</v>
          </cell>
          <cell r="AT112">
            <v>450</v>
          </cell>
        </row>
        <row r="113">
          <cell r="B113">
            <v>41026</v>
          </cell>
          <cell r="C113" t="str">
            <v>Ciencias de la Vida</v>
          </cell>
          <cell r="D113" t="str">
            <v>Santiago</v>
          </cell>
          <cell r="E113" t="str">
            <v>Presencial</v>
          </cell>
          <cell r="F113" t="str">
            <v>UNAB19150</v>
          </cell>
          <cell r="G113" t="str">
            <v>REP</v>
          </cell>
          <cell r="H113" t="str">
            <v>Medicina Veterinaria</v>
          </cell>
          <cell r="I113" t="e">
            <v>#N/A</v>
          </cell>
          <cell r="J113" t="str">
            <v>NO APLICA</v>
          </cell>
          <cell r="K113">
            <v>650</v>
          </cell>
          <cell r="L113" t="str">
            <v>600↓</v>
          </cell>
          <cell r="M113">
            <v>600</v>
          </cell>
          <cell r="N113">
            <v>1</v>
          </cell>
          <cell r="O113" t="str">
            <v>MANTENER</v>
          </cell>
          <cell r="P113">
            <v>0.2</v>
          </cell>
          <cell r="Q113">
            <v>0.1</v>
          </cell>
          <cell r="R113">
            <v>0.1</v>
          </cell>
          <cell r="S113">
            <v>0.3</v>
          </cell>
          <cell r="T113" t="str">
            <v>-</v>
          </cell>
          <cell r="U113" t="str">
            <v>-</v>
          </cell>
          <cell r="V113">
            <v>0.3</v>
          </cell>
          <cell r="W113">
            <v>0</v>
          </cell>
          <cell r="X113">
            <v>458</v>
          </cell>
          <cell r="Y113" t="str">
            <v>SI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10</v>
          </cell>
          <cell r="AG113">
            <v>3</v>
          </cell>
          <cell r="AH113">
            <v>2</v>
          </cell>
          <cell r="AI113">
            <v>3</v>
          </cell>
          <cell r="AJ113">
            <v>0</v>
          </cell>
          <cell r="AK113">
            <v>7</v>
          </cell>
          <cell r="AL113">
            <v>4</v>
          </cell>
          <cell r="AM113">
            <v>22</v>
          </cell>
          <cell r="AN113">
            <v>556.29999999999995</v>
          </cell>
          <cell r="AO113">
            <v>535.20000000000005</v>
          </cell>
          <cell r="AP113">
            <v>514</v>
          </cell>
          <cell r="AQ113">
            <v>436.5</v>
          </cell>
          <cell r="AR113">
            <v>-77.5</v>
          </cell>
          <cell r="AS113">
            <v>436.5</v>
          </cell>
          <cell r="AT113">
            <v>450</v>
          </cell>
        </row>
        <row r="114">
          <cell r="B114">
            <v>41165</v>
          </cell>
          <cell r="C114" t="str">
            <v>Ciencias de la Vida</v>
          </cell>
          <cell r="D114" t="str">
            <v>Viña</v>
          </cell>
          <cell r="E114" t="str">
            <v>Presencial</v>
          </cell>
          <cell r="F114" t="str">
            <v>UNAB19150</v>
          </cell>
          <cell r="G114" t="str">
            <v>VIN</v>
          </cell>
          <cell r="H114" t="str">
            <v>Medicina Veterinaria</v>
          </cell>
          <cell r="I114" t="e">
            <v>#N/A</v>
          </cell>
          <cell r="J114" t="str">
            <v>NO APLICA</v>
          </cell>
          <cell r="K114">
            <v>650</v>
          </cell>
          <cell r="L114" t="str">
            <v>600↓</v>
          </cell>
          <cell r="M114">
            <v>600</v>
          </cell>
          <cell r="N114">
            <v>1</v>
          </cell>
          <cell r="O114" t="str">
            <v>MANTENER</v>
          </cell>
          <cell r="P114">
            <v>0.2</v>
          </cell>
          <cell r="Q114">
            <v>0.1</v>
          </cell>
          <cell r="R114">
            <v>0.1</v>
          </cell>
          <cell r="S114">
            <v>0.3</v>
          </cell>
          <cell r="T114" t="str">
            <v>-</v>
          </cell>
          <cell r="U114" t="str">
            <v>-</v>
          </cell>
          <cell r="V114">
            <v>0.3</v>
          </cell>
          <cell r="W114">
            <v>0</v>
          </cell>
          <cell r="X114">
            <v>458</v>
          </cell>
          <cell r="Y114" t="str">
            <v>SI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10</v>
          </cell>
          <cell r="AG114">
            <v>3</v>
          </cell>
          <cell r="AH114">
            <v>2</v>
          </cell>
          <cell r="AI114">
            <v>3</v>
          </cell>
          <cell r="AJ114">
            <v>0</v>
          </cell>
          <cell r="AK114">
            <v>23</v>
          </cell>
          <cell r="AL114">
            <v>20</v>
          </cell>
          <cell r="AM114">
            <v>38</v>
          </cell>
          <cell r="AN114">
            <v>554.20000000000005</v>
          </cell>
          <cell r="AO114">
            <v>529.70000000000005</v>
          </cell>
          <cell r="AP114">
            <v>512.79999999999995</v>
          </cell>
          <cell r="AQ114">
            <v>416.3</v>
          </cell>
          <cell r="AR114">
            <v>-96.499999999999943</v>
          </cell>
          <cell r="AS114">
            <v>416.3</v>
          </cell>
          <cell r="AT114">
            <v>450</v>
          </cell>
        </row>
        <row r="115">
          <cell r="B115">
            <v>41125</v>
          </cell>
          <cell r="C115" t="str">
            <v>Medicina</v>
          </cell>
          <cell r="D115" t="str">
            <v xml:space="preserve">Concepción </v>
          </cell>
          <cell r="E115" t="str">
            <v>Presencial</v>
          </cell>
          <cell r="F115" t="str">
            <v>UNAB19951</v>
          </cell>
          <cell r="G115" t="str">
            <v>CON</v>
          </cell>
          <cell r="H115" t="str">
            <v>Nutrición y Dietética</v>
          </cell>
          <cell r="I115" t="e">
            <v>#N/A</v>
          </cell>
          <cell r="J115" t="str">
            <v>NO APLICA</v>
          </cell>
          <cell r="K115">
            <v>600</v>
          </cell>
          <cell r="L115" t="str">
            <v>550↓</v>
          </cell>
          <cell r="M115">
            <v>550</v>
          </cell>
          <cell r="N115">
            <v>1</v>
          </cell>
          <cell r="O115" t="str">
            <v>MANTENER</v>
          </cell>
          <cell r="P115">
            <v>0.2</v>
          </cell>
          <cell r="Q115">
            <v>0.3</v>
          </cell>
          <cell r="R115">
            <v>0.1</v>
          </cell>
          <cell r="S115">
            <v>0.3</v>
          </cell>
          <cell r="T115" t="str">
            <v>-</v>
          </cell>
          <cell r="U115" t="str">
            <v>-</v>
          </cell>
          <cell r="V115">
            <v>0.1</v>
          </cell>
          <cell r="W115">
            <v>0</v>
          </cell>
          <cell r="X115">
            <v>458</v>
          </cell>
          <cell r="Y115" t="str">
            <v>SI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5</v>
          </cell>
          <cell r="AG115">
            <v>3</v>
          </cell>
          <cell r="AH115">
            <v>2</v>
          </cell>
          <cell r="AI115">
            <v>3</v>
          </cell>
          <cell r="AJ115">
            <v>0</v>
          </cell>
          <cell r="AK115">
            <v>8</v>
          </cell>
          <cell r="AL115">
            <v>5</v>
          </cell>
          <cell r="AM115">
            <v>18</v>
          </cell>
          <cell r="AN115">
            <v>466</v>
          </cell>
          <cell r="AO115">
            <v>427.3</v>
          </cell>
          <cell r="AP115">
            <v>438.8</v>
          </cell>
          <cell r="AQ115">
            <v>415.8</v>
          </cell>
          <cell r="AR115">
            <v>-23</v>
          </cell>
          <cell r="AS115">
            <v>415.8</v>
          </cell>
          <cell r="AT115">
            <v>450</v>
          </cell>
        </row>
        <row r="116">
          <cell r="B116">
            <v>41057</v>
          </cell>
          <cell r="C116" t="str">
            <v>Medicina</v>
          </cell>
          <cell r="D116" t="str">
            <v>Santiago</v>
          </cell>
          <cell r="E116" t="str">
            <v>Presencial</v>
          </cell>
          <cell r="F116" t="str">
            <v>UNAB19951</v>
          </cell>
          <cell r="G116" t="str">
            <v>REP</v>
          </cell>
          <cell r="H116" t="str">
            <v>Nutrición y Dietética</v>
          </cell>
          <cell r="I116" t="e">
            <v>#N/A</v>
          </cell>
          <cell r="J116" t="str">
            <v>NO APLICA</v>
          </cell>
          <cell r="K116">
            <v>600</v>
          </cell>
          <cell r="L116" t="str">
            <v>550↓</v>
          </cell>
          <cell r="M116">
            <v>550</v>
          </cell>
          <cell r="N116">
            <v>1</v>
          </cell>
          <cell r="O116" t="str">
            <v>MANTENER</v>
          </cell>
          <cell r="P116">
            <v>0.2</v>
          </cell>
          <cell r="Q116">
            <v>0.3</v>
          </cell>
          <cell r="R116">
            <v>0.1</v>
          </cell>
          <cell r="S116">
            <v>0.3</v>
          </cell>
          <cell r="T116" t="str">
            <v>-</v>
          </cell>
          <cell r="U116" t="str">
            <v>-</v>
          </cell>
          <cell r="V116">
            <v>0.1</v>
          </cell>
          <cell r="W116">
            <v>0</v>
          </cell>
          <cell r="X116">
            <v>458</v>
          </cell>
          <cell r="Y116" t="str">
            <v>SI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15</v>
          </cell>
          <cell r="AG116">
            <v>3</v>
          </cell>
          <cell r="AH116">
            <v>2</v>
          </cell>
          <cell r="AI116">
            <v>3</v>
          </cell>
          <cell r="AJ116">
            <v>0</v>
          </cell>
          <cell r="AK116">
            <v>7</v>
          </cell>
          <cell r="AL116">
            <v>4</v>
          </cell>
          <cell r="AM116">
            <v>27</v>
          </cell>
          <cell r="AN116">
            <v>532.5</v>
          </cell>
          <cell r="AO116">
            <v>441</v>
          </cell>
          <cell r="AP116">
            <v>364.2</v>
          </cell>
          <cell r="AQ116">
            <v>464.3</v>
          </cell>
          <cell r="AR116">
            <v>100.10000000000002</v>
          </cell>
          <cell r="AS116">
            <v>464.3</v>
          </cell>
          <cell r="AT116">
            <v>450</v>
          </cell>
        </row>
        <row r="117">
          <cell r="B117">
            <v>41096</v>
          </cell>
          <cell r="C117" t="str">
            <v>Medicina</v>
          </cell>
          <cell r="D117" t="str">
            <v>Viña</v>
          </cell>
          <cell r="E117" t="str">
            <v>Presencial</v>
          </cell>
          <cell r="F117" t="str">
            <v>UNAB19951</v>
          </cell>
          <cell r="G117" t="str">
            <v>VIN</v>
          </cell>
          <cell r="H117" t="str">
            <v>Nutrición y Dietética</v>
          </cell>
          <cell r="I117" t="e">
            <v>#N/A</v>
          </cell>
          <cell r="J117" t="str">
            <v>NO APLICA</v>
          </cell>
          <cell r="K117">
            <v>600</v>
          </cell>
          <cell r="L117" t="str">
            <v>550↓</v>
          </cell>
          <cell r="M117">
            <v>550</v>
          </cell>
          <cell r="N117">
            <v>1</v>
          </cell>
          <cell r="O117" t="str">
            <v>MANTENER</v>
          </cell>
          <cell r="P117">
            <v>0.2</v>
          </cell>
          <cell r="Q117">
            <v>0.3</v>
          </cell>
          <cell r="R117">
            <v>0.1</v>
          </cell>
          <cell r="S117">
            <v>0.3</v>
          </cell>
          <cell r="T117" t="str">
            <v>-</v>
          </cell>
          <cell r="U117" t="str">
            <v>-</v>
          </cell>
          <cell r="V117">
            <v>0.1</v>
          </cell>
          <cell r="W117">
            <v>0</v>
          </cell>
          <cell r="X117">
            <v>458</v>
          </cell>
          <cell r="Y117" t="str">
            <v>SI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10</v>
          </cell>
          <cell r="AG117">
            <v>3</v>
          </cell>
          <cell r="AH117">
            <v>2</v>
          </cell>
          <cell r="AI117">
            <v>3</v>
          </cell>
          <cell r="AJ117">
            <v>0</v>
          </cell>
          <cell r="AK117">
            <v>9</v>
          </cell>
          <cell r="AL117">
            <v>6</v>
          </cell>
          <cell r="AM117">
            <v>24</v>
          </cell>
          <cell r="AN117">
            <v>519.9</v>
          </cell>
          <cell r="AO117">
            <v>476.9</v>
          </cell>
          <cell r="AP117">
            <v>411.8</v>
          </cell>
          <cell r="AQ117">
            <v>427.8</v>
          </cell>
          <cell r="AR117">
            <v>16</v>
          </cell>
          <cell r="AS117">
            <v>427.8</v>
          </cell>
          <cell r="AT117">
            <v>450</v>
          </cell>
        </row>
        <row r="118">
          <cell r="B118">
            <v>41159</v>
          </cell>
          <cell r="C118" t="str">
            <v>Medicina</v>
          </cell>
          <cell r="D118" t="str">
            <v xml:space="preserve">Concepción </v>
          </cell>
          <cell r="E118" t="str">
            <v>Presencial</v>
          </cell>
          <cell r="F118" t="str">
            <v>UNAB19720</v>
          </cell>
          <cell r="G118" t="str">
            <v>CON</v>
          </cell>
          <cell r="H118" t="str">
            <v>Obstetricia</v>
          </cell>
          <cell r="I118" t="e">
            <v>#N/A</v>
          </cell>
          <cell r="J118" t="str">
            <v>NO APLICA</v>
          </cell>
          <cell r="K118">
            <v>650</v>
          </cell>
          <cell r="L118">
            <v>650</v>
          </cell>
          <cell r="M118">
            <v>700</v>
          </cell>
          <cell r="N118" t="str">
            <v>NO</v>
          </cell>
          <cell r="O118" t="str">
            <v>MANTENER</v>
          </cell>
          <cell r="P118">
            <v>0.1</v>
          </cell>
          <cell r="Q118">
            <v>0.1</v>
          </cell>
          <cell r="R118">
            <v>0.1</v>
          </cell>
          <cell r="S118">
            <v>0.4</v>
          </cell>
          <cell r="T118" t="str">
            <v>-</v>
          </cell>
          <cell r="U118" t="str">
            <v>-</v>
          </cell>
          <cell r="V118">
            <v>0.3</v>
          </cell>
          <cell r="W118">
            <v>0</v>
          </cell>
          <cell r="X118">
            <v>458</v>
          </cell>
          <cell r="Y118" t="str">
            <v>SI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15</v>
          </cell>
          <cell r="AG118">
            <v>0</v>
          </cell>
          <cell r="AH118">
            <v>0</v>
          </cell>
          <cell r="AI118">
            <v>3</v>
          </cell>
          <cell r="AJ118">
            <v>0</v>
          </cell>
          <cell r="AK118">
            <v>0</v>
          </cell>
          <cell r="AL118">
            <v>-3</v>
          </cell>
          <cell r="AM118">
            <v>15</v>
          </cell>
          <cell r="AN118">
            <v>589.79999999999995</v>
          </cell>
          <cell r="AO118">
            <v>615.70000000000005</v>
          </cell>
          <cell r="AP118">
            <v>605.29999999999995</v>
          </cell>
          <cell r="AQ118">
            <v>582.5</v>
          </cell>
          <cell r="AR118">
            <v>-22.799999999999955</v>
          </cell>
          <cell r="AS118">
            <v>540.20000000000005</v>
          </cell>
          <cell r="AT118">
            <v>540</v>
          </cell>
        </row>
        <row r="119">
          <cell r="B119">
            <v>41168</v>
          </cell>
          <cell r="C119" t="str">
            <v>Medicina</v>
          </cell>
          <cell r="D119" t="str">
            <v>Santiago</v>
          </cell>
          <cell r="E119" t="str">
            <v>Presencial</v>
          </cell>
          <cell r="F119" t="str">
            <v>UNAB19720</v>
          </cell>
          <cell r="G119" t="str">
            <v>REP</v>
          </cell>
          <cell r="H119" t="str">
            <v>Obstetricia</v>
          </cell>
          <cell r="I119" t="e">
            <v>#N/A</v>
          </cell>
          <cell r="J119" t="str">
            <v>NO APLICA</v>
          </cell>
          <cell r="K119">
            <v>700</v>
          </cell>
          <cell r="L119" t="str">
            <v>Mantener</v>
          </cell>
          <cell r="M119">
            <v>700</v>
          </cell>
          <cell r="N119" t="str">
            <v>NO</v>
          </cell>
          <cell r="O119" t="str">
            <v>MANTENER</v>
          </cell>
          <cell r="P119">
            <v>0.1</v>
          </cell>
          <cell r="Q119">
            <v>0.1</v>
          </cell>
          <cell r="R119">
            <v>0.1</v>
          </cell>
          <cell r="S119">
            <v>0.4</v>
          </cell>
          <cell r="T119" t="str">
            <v>-</v>
          </cell>
          <cell r="U119" t="str">
            <v>-</v>
          </cell>
          <cell r="V119">
            <v>0.3</v>
          </cell>
          <cell r="W119">
            <v>0</v>
          </cell>
          <cell r="X119">
            <v>458</v>
          </cell>
          <cell r="Y119" t="str">
            <v>SI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10</v>
          </cell>
          <cell r="AG119">
            <v>0</v>
          </cell>
          <cell r="AH119">
            <v>0</v>
          </cell>
          <cell r="AI119">
            <v>3</v>
          </cell>
          <cell r="AJ119">
            <v>0</v>
          </cell>
          <cell r="AK119">
            <v>5</v>
          </cell>
          <cell r="AL119">
            <v>2</v>
          </cell>
          <cell r="AM119">
            <v>15</v>
          </cell>
          <cell r="AN119">
            <v>612</v>
          </cell>
          <cell r="AO119">
            <v>638.20000000000005</v>
          </cell>
          <cell r="AP119">
            <v>632.29999999999995</v>
          </cell>
          <cell r="AQ119">
            <v>568.70000000000005</v>
          </cell>
          <cell r="AR119">
            <v>-63.599999999999909</v>
          </cell>
          <cell r="AS119">
            <v>487.5</v>
          </cell>
          <cell r="AT119">
            <v>540</v>
          </cell>
        </row>
        <row r="120">
          <cell r="B120">
            <v>41169</v>
          </cell>
          <cell r="C120" t="str">
            <v>Medicina</v>
          </cell>
          <cell r="D120" t="str">
            <v>Viña</v>
          </cell>
          <cell r="E120" t="str">
            <v>Presencial</v>
          </cell>
          <cell r="F120" t="str">
            <v>UNAB19720</v>
          </cell>
          <cell r="G120" t="str">
            <v>VIN</v>
          </cell>
          <cell r="H120" t="str">
            <v>Obstetricia</v>
          </cell>
          <cell r="I120" t="e">
            <v>#N/A</v>
          </cell>
          <cell r="J120" t="str">
            <v>NO APLICA</v>
          </cell>
          <cell r="K120">
            <v>700</v>
          </cell>
          <cell r="L120" t="str">
            <v>Mantener</v>
          </cell>
          <cell r="M120">
            <v>700</v>
          </cell>
          <cell r="N120" t="str">
            <v>NO</v>
          </cell>
          <cell r="O120" t="str">
            <v>MANTENER</v>
          </cell>
          <cell r="P120">
            <v>0.1</v>
          </cell>
          <cell r="Q120">
            <v>0.1</v>
          </cell>
          <cell r="R120">
            <v>0.1</v>
          </cell>
          <cell r="S120">
            <v>0.4</v>
          </cell>
          <cell r="T120" t="str">
            <v>-</v>
          </cell>
          <cell r="U120" t="str">
            <v>-</v>
          </cell>
          <cell r="V120">
            <v>0.3</v>
          </cell>
          <cell r="W120">
            <v>0</v>
          </cell>
          <cell r="X120">
            <v>458</v>
          </cell>
          <cell r="Y120" t="str">
            <v>SI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7</v>
          </cell>
          <cell r="AG120">
            <v>0</v>
          </cell>
          <cell r="AH120">
            <v>0</v>
          </cell>
          <cell r="AI120">
            <v>3</v>
          </cell>
          <cell r="AJ120">
            <v>0</v>
          </cell>
          <cell r="AK120">
            <v>3</v>
          </cell>
          <cell r="AL120">
            <v>0</v>
          </cell>
          <cell r="AM120">
            <v>10</v>
          </cell>
          <cell r="AN120">
            <v>582.6</v>
          </cell>
          <cell r="AO120">
            <v>634.29999999999995</v>
          </cell>
          <cell r="AP120">
            <v>574.70000000000005</v>
          </cell>
          <cell r="AQ120">
            <v>558.6</v>
          </cell>
          <cell r="AR120">
            <v>-16.100000000000023</v>
          </cell>
          <cell r="AS120">
            <v>544.5</v>
          </cell>
          <cell r="AT120">
            <v>540</v>
          </cell>
        </row>
        <row r="121">
          <cell r="B121">
            <v>41127</v>
          </cell>
          <cell r="C121" t="str">
            <v>Odontología</v>
          </cell>
          <cell r="D121" t="str">
            <v xml:space="preserve">Concepción </v>
          </cell>
          <cell r="E121" t="str">
            <v>Presencial</v>
          </cell>
          <cell r="F121" t="str">
            <v>UNAB19910</v>
          </cell>
          <cell r="G121" t="str">
            <v>CON</v>
          </cell>
          <cell r="H121" t="str">
            <v>Odontología</v>
          </cell>
          <cell r="I121" t="e">
            <v>#N/A</v>
          </cell>
          <cell r="J121" t="str">
            <v>NO APLICA</v>
          </cell>
          <cell r="K121">
            <v>650</v>
          </cell>
          <cell r="L121" t="str">
            <v>600↓</v>
          </cell>
          <cell r="M121">
            <v>600</v>
          </cell>
          <cell r="N121" t="str">
            <v>NO</v>
          </cell>
          <cell r="O121" t="str">
            <v>MANTENER</v>
          </cell>
          <cell r="P121">
            <v>0.1</v>
          </cell>
          <cell r="Q121">
            <v>0.4</v>
          </cell>
          <cell r="R121">
            <v>0.1</v>
          </cell>
          <cell r="S121">
            <v>0.15</v>
          </cell>
          <cell r="T121" t="str">
            <v>-</v>
          </cell>
          <cell r="U121" t="str">
            <v>-</v>
          </cell>
          <cell r="V121">
            <v>0.25</v>
          </cell>
          <cell r="W121">
            <v>0</v>
          </cell>
          <cell r="X121">
            <v>458</v>
          </cell>
          <cell r="Y121" t="str">
            <v>SI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10</v>
          </cell>
          <cell r="AG121">
            <v>5</v>
          </cell>
          <cell r="AH121">
            <v>1</v>
          </cell>
          <cell r="AI121">
            <v>3</v>
          </cell>
          <cell r="AJ121">
            <v>0</v>
          </cell>
          <cell r="AK121">
            <v>-8</v>
          </cell>
          <cell r="AL121">
            <v>-11</v>
          </cell>
          <cell r="AM121">
            <v>8</v>
          </cell>
          <cell r="AN121">
            <v>666.9</v>
          </cell>
          <cell r="AO121">
            <v>651.04999999999995</v>
          </cell>
          <cell r="AP121">
            <v>616.70000000000005</v>
          </cell>
          <cell r="AQ121">
            <v>502.75</v>
          </cell>
          <cell r="AR121">
            <v>-113.95000000000005</v>
          </cell>
          <cell r="AS121">
            <v>502.75</v>
          </cell>
          <cell r="AT121">
            <v>450</v>
          </cell>
        </row>
        <row r="122">
          <cell r="B122">
            <v>41060</v>
          </cell>
          <cell r="C122" t="str">
            <v>Odontología</v>
          </cell>
          <cell r="D122" t="str">
            <v>Santiago</v>
          </cell>
          <cell r="E122" t="str">
            <v>Presencial</v>
          </cell>
          <cell r="F122" t="str">
            <v>UNAB19910</v>
          </cell>
          <cell r="G122" t="str">
            <v>REP</v>
          </cell>
          <cell r="H122" t="str">
            <v>Odontología</v>
          </cell>
          <cell r="I122" t="e">
            <v>#N/A</v>
          </cell>
          <cell r="J122" t="str">
            <v>NO APLICA</v>
          </cell>
          <cell r="K122">
            <v>650</v>
          </cell>
          <cell r="L122" t="str">
            <v>Mantener</v>
          </cell>
          <cell r="M122">
            <v>650</v>
          </cell>
          <cell r="N122" t="str">
            <v>NO</v>
          </cell>
          <cell r="O122" t="str">
            <v>MANTENER</v>
          </cell>
          <cell r="P122">
            <v>0.1</v>
          </cell>
          <cell r="Q122">
            <v>0.4</v>
          </cell>
          <cell r="R122">
            <v>0.1</v>
          </cell>
          <cell r="S122">
            <v>0.15</v>
          </cell>
          <cell r="T122" t="str">
            <v>-</v>
          </cell>
          <cell r="U122" t="str">
            <v>-</v>
          </cell>
          <cell r="V122">
            <v>0.25</v>
          </cell>
          <cell r="W122">
            <v>0</v>
          </cell>
          <cell r="X122">
            <v>458</v>
          </cell>
          <cell r="Y122" t="str">
            <v>SI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20</v>
          </cell>
          <cell r="AG122">
            <v>5</v>
          </cell>
          <cell r="AH122">
            <v>1</v>
          </cell>
          <cell r="AI122">
            <v>4</v>
          </cell>
          <cell r="AJ122">
            <v>0</v>
          </cell>
          <cell r="AK122">
            <v>-11</v>
          </cell>
          <cell r="AL122">
            <v>-15</v>
          </cell>
          <cell r="AM122">
            <v>15</v>
          </cell>
          <cell r="AN122">
            <v>682.05</v>
          </cell>
          <cell r="AO122">
            <v>647.20000000000005</v>
          </cell>
          <cell r="AP122">
            <v>505.35</v>
          </cell>
          <cell r="AQ122">
            <v>619.4</v>
          </cell>
          <cell r="AR122">
            <v>114.04999999999995</v>
          </cell>
          <cell r="AS122">
            <v>412</v>
          </cell>
          <cell r="AT122">
            <v>450</v>
          </cell>
        </row>
        <row r="123">
          <cell r="B123">
            <v>41099</v>
          </cell>
          <cell r="C123" t="str">
            <v>Odontología</v>
          </cell>
          <cell r="D123" t="str">
            <v>Viña</v>
          </cell>
          <cell r="E123" t="str">
            <v>Presencial</v>
          </cell>
          <cell r="F123" t="str">
            <v>UNAB19910</v>
          </cell>
          <cell r="G123" t="str">
            <v>VIN</v>
          </cell>
          <cell r="H123" t="str">
            <v>Odontología</v>
          </cell>
          <cell r="I123" t="e">
            <v>#N/A</v>
          </cell>
          <cell r="J123" t="str">
            <v>NO APLICA</v>
          </cell>
          <cell r="K123">
            <v>650</v>
          </cell>
          <cell r="L123" t="str">
            <v>Mantener</v>
          </cell>
          <cell r="M123">
            <v>650</v>
          </cell>
          <cell r="N123" t="str">
            <v>NO</v>
          </cell>
          <cell r="O123" t="str">
            <v>MANTENER</v>
          </cell>
          <cell r="P123">
            <v>0.1</v>
          </cell>
          <cell r="Q123">
            <v>0.4</v>
          </cell>
          <cell r="R123">
            <v>0.1</v>
          </cell>
          <cell r="S123">
            <v>0.15</v>
          </cell>
          <cell r="T123" t="str">
            <v>-</v>
          </cell>
          <cell r="U123" t="str">
            <v>-</v>
          </cell>
          <cell r="V123">
            <v>0.25</v>
          </cell>
          <cell r="W123">
            <v>0</v>
          </cell>
          <cell r="X123">
            <v>458</v>
          </cell>
          <cell r="Y123" t="str">
            <v>SI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10</v>
          </cell>
          <cell r="AG123">
            <v>5</v>
          </cell>
          <cell r="AH123">
            <v>1</v>
          </cell>
          <cell r="AI123">
            <v>3</v>
          </cell>
          <cell r="AJ123">
            <v>0</v>
          </cell>
          <cell r="AK123">
            <v>-9</v>
          </cell>
          <cell r="AL123">
            <v>-12</v>
          </cell>
          <cell r="AM123">
            <v>7</v>
          </cell>
          <cell r="AN123">
            <v>690.4</v>
          </cell>
          <cell r="AO123">
            <v>672.35</v>
          </cell>
          <cell r="AP123">
            <v>619.9</v>
          </cell>
          <cell r="AQ123">
            <v>531.95000000000005</v>
          </cell>
          <cell r="AR123">
            <v>-87.949999999999932</v>
          </cell>
          <cell r="AS123">
            <v>462.85</v>
          </cell>
          <cell r="AT123">
            <v>450</v>
          </cell>
        </row>
        <row r="124">
          <cell r="B124">
            <v>41034</v>
          </cell>
          <cell r="C124" t="str">
            <v>Educacion y Humanidades</v>
          </cell>
          <cell r="D124" t="str">
            <v>Santiago</v>
          </cell>
          <cell r="E124" t="str">
            <v>Presencial</v>
          </cell>
          <cell r="F124" t="str">
            <v>UNAB15756</v>
          </cell>
          <cell r="G124" t="str">
            <v>CAS</v>
          </cell>
          <cell r="H124" t="str">
            <v>Pedagogía Educación Física</v>
          </cell>
          <cell r="I124" t="str">
            <v>95 - Escuela de Ciencias del Deporte</v>
          </cell>
          <cell r="J124" t="str">
            <v>NO APLICA</v>
          </cell>
          <cell r="K124" t="str">
            <v>NO</v>
          </cell>
          <cell r="L124" t="str">
            <v>NO</v>
          </cell>
          <cell r="M124" t="str">
            <v>NO</v>
          </cell>
          <cell r="N124" t="str">
            <v>NO</v>
          </cell>
          <cell r="O124" t="str">
            <v>MANTENER</v>
          </cell>
          <cell r="P124">
            <v>0.2</v>
          </cell>
          <cell r="Q124">
            <v>0.3</v>
          </cell>
          <cell r="R124">
            <v>0.1</v>
          </cell>
          <cell r="S124">
            <v>0.3</v>
          </cell>
          <cell r="T124" t="str">
            <v>-</v>
          </cell>
          <cell r="U124">
            <v>0.1</v>
          </cell>
          <cell r="V124">
            <v>0.1</v>
          </cell>
          <cell r="W124">
            <v>0</v>
          </cell>
          <cell r="X124">
            <v>528</v>
          </cell>
          <cell r="Y124" t="str">
            <v>SI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 t="str">
            <v>Ley Educacion</v>
          </cell>
          <cell r="AI124">
            <v>0</v>
          </cell>
          <cell r="AJ124">
            <v>0</v>
          </cell>
          <cell r="AK124" t="e">
            <v>#VALUE!</v>
          </cell>
          <cell r="AL124" t="e">
            <v>#VALUE!</v>
          </cell>
          <cell r="AM124">
            <v>5</v>
          </cell>
          <cell r="AN124">
            <v>417.4</v>
          </cell>
          <cell r="AO124">
            <v>439</v>
          </cell>
          <cell r="AP124">
            <v>493.5</v>
          </cell>
          <cell r="AQ124">
            <v>489.9</v>
          </cell>
          <cell r="AR124">
            <v>-3.6000000000000227</v>
          </cell>
          <cell r="AS124">
            <v>489.9</v>
          </cell>
          <cell r="AT124">
            <v>568</v>
          </cell>
        </row>
        <row r="125">
          <cell r="B125">
            <v>41080</v>
          </cell>
          <cell r="C125" t="str">
            <v>Educacion y Humanidades</v>
          </cell>
          <cell r="D125" t="str">
            <v>Viña</v>
          </cell>
          <cell r="E125" t="str">
            <v>Presencial</v>
          </cell>
          <cell r="F125" t="str">
            <v>UNAB15756</v>
          </cell>
          <cell r="G125" t="str">
            <v>VIN</v>
          </cell>
          <cell r="H125" t="str">
            <v>Pedagogía Educación Física</v>
          </cell>
          <cell r="I125" t="str">
            <v>95 - Escuela de Ciencias del Deporte</v>
          </cell>
          <cell r="J125" t="str">
            <v>NO APLICA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NO</v>
          </cell>
          <cell r="O125" t="str">
            <v>MANTENER</v>
          </cell>
          <cell r="P125">
            <v>0.2</v>
          </cell>
          <cell r="Q125">
            <v>0.3</v>
          </cell>
          <cell r="R125">
            <v>0.1</v>
          </cell>
          <cell r="S125">
            <v>0.3</v>
          </cell>
          <cell r="T125" t="str">
            <v>-</v>
          </cell>
          <cell r="U125">
            <v>0.1</v>
          </cell>
          <cell r="V125">
            <v>0.1</v>
          </cell>
          <cell r="W125">
            <v>0</v>
          </cell>
          <cell r="X125">
            <v>528</v>
          </cell>
          <cell r="Y125" t="str">
            <v>SI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 t="str">
            <v>Ley Educacion</v>
          </cell>
          <cell r="AI125">
            <v>0</v>
          </cell>
          <cell r="AJ125">
            <v>0</v>
          </cell>
          <cell r="AK125" t="e">
            <v>#VALUE!</v>
          </cell>
          <cell r="AL125" t="e">
            <v>#VALUE!</v>
          </cell>
          <cell r="AM125">
            <v>3</v>
          </cell>
          <cell r="AN125">
            <v>458.1</v>
          </cell>
          <cell r="AO125">
            <v>401.6</v>
          </cell>
          <cell r="AP125">
            <v>388.9</v>
          </cell>
          <cell r="AQ125">
            <v>484.3</v>
          </cell>
          <cell r="AR125">
            <v>95.400000000000034</v>
          </cell>
          <cell r="AS125">
            <v>484.3</v>
          </cell>
          <cell r="AT125">
            <v>568</v>
          </cell>
        </row>
        <row r="126">
          <cell r="B126">
            <v>41041</v>
          </cell>
          <cell r="C126" t="str">
            <v>Educacion y Humanidades</v>
          </cell>
          <cell r="D126" t="str">
            <v>Santiago</v>
          </cell>
          <cell r="E126" t="str">
            <v>Presencial</v>
          </cell>
          <cell r="F126" t="str">
            <v>UNAB15760</v>
          </cell>
          <cell r="G126" t="str">
            <v>CAS</v>
          </cell>
          <cell r="H126" t="str">
            <v>Pedagogía en Inglés para la enseñanza básica y media</v>
          </cell>
          <cell r="I126" t="str">
            <v>94 - Escuela de Formación Docente</v>
          </cell>
          <cell r="J126" t="str">
            <v>NO APLICA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NO</v>
          </cell>
          <cell r="O126" t="str">
            <v>MANTENER</v>
          </cell>
          <cell r="P126">
            <v>0.2</v>
          </cell>
          <cell r="Q126">
            <v>0.3</v>
          </cell>
          <cell r="R126">
            <v>0.15</v>
          </cell>
          <cell r="S126">
            <v>0.2</v>
          </cell>
          <cell r="T126" t="str">
            <v>-</v>
          </cell>
          <cell r="U126">
            <v>0.15</v>
          </cell>
          <cell r="V126">
            <v>0.15</v>
          </cell>
          <cell r="W126">
            <v>0</v>
          </cell>
          <cell r="X126">
            <v>528</v>
          </cell>
          <cell r="Y126" t="str">
            <v>SI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 t="str">
            <v>Ley Educacion</v>
          </cell>
          <cell r="AI126">
            <v>0</v>
          </cell>
          <cell r="AJ126">
            <v>0</v>
          </cell>
          <cell r="AK126" t="e">
            <v>#VALUE!</v>
          </cell>
          <cell r="AL126" t="e">
            <v>#VALUE!</v>
          </cell>
          <cell r="AM126">
            <v>6</v>
          </cell>
          <cell r="AN126">
            <v>501.35</v>
          </cell>
          <cell r="AO126">
            <v>457.1</v>
          </cell>
          <cell r="AP126">
            <v>474.5</v>
          </cell>
          <cell r="AQ126">
            <v>537.85</v>
          </cell>
          <cell r="AR126">
            <v>63.350000000000023</v>
          </cell>
          <cell r="AS126">
            <v>537.85</v>
          </cell>
          <cell r="AT126">
            <v>568</v>
          </cell>
        </row>
        <row r="127">
          <cell r="B127">
            <v>41116</v>
          </cell>
          <cell r="C127" t="str">
            <v>Educacion y Humanidades</v>
          </cell>
          <cell r="D127" t="str">
            <v xml:space="preserve">Concepción </v>
          </cell>
          <cell r="E127" t="str">
            <v>Presencial</v>
          </cell>
          <cell r="F127" t="str">
            <v>UNAB15760</v>
          </cell>
          <cell r="G127" t="str">
            <v>CON</v>
          </cell>
          <cell r="H127" t="str">
            <v>Pedagogía en Inglés para la enseñanza básica y media</v>
          </cell>
          <cell r="I127" t="str">
            <v>94 - Escuela de Formación Docente</v>
          </cell>
          <cell r="J127" t="str">
            <v>NO APLICA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NO</v>
          </cell>
          <cell r="O127" t="str">
            <v>MANTENER</v>
          </cell>
          <cell r="P127">
            <v>0.2</v>
          </cell>
          <cell r="Q127">
            <v>0.3</v>
          </cell>
          <cell r="R127">
            <v>0.15</v>
          </cell>
          <cell r="S127">
            <v>0.2</v>
          </cell>
          <cell r="T127" t="str">
            <v>-</v>
          </cell>
          <cell r="U127">
            <v>0.15</v>
          </cell>
          <cell r="V127">
            <v>0.15</v>
          </cell>
          <cell r="W127">
            <v>0</v>
          </cell>
          <cell r="X127">
            <v>528</v>
          </cell>
          <cell r="Y127" t="str">
            <v>SI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 t="str">
            <v>Ley Educacion</v>
          </cell>
          <cell r="AI127">
            <v>0</v>
          </cell>
          <cell r="AJ127">
            <v>0</v>
          </cell>
          <cell r="AK127" t="e">
            <v>#VALUE!</v>
          </cell>
          <cell r="AL127" t="e">
            <v>#VALUE!</v>
          </cell>
          <cell r="AM127">
            <v>2</v>
          </cell>
          <cell r="AN127">
            <v>473.3</v>
          </cell>
          <cell r="AO127">
            <v>477</v>
          </cell>
          <cell r="AP127">
            <v>478.65</v>
          </cell>
          <cell r="AQ127">
            <v>527.95000000000005</v>
          </cell>
          <cell r="AR127">
            <v>49.300000000000068</v>
          </cell>
          <cell r="AS127">
            <v>527.95000000000005</v>
          </cell>
          <cell r="AT127">
            <v>568</v>
          </cell>
        </row>
        <row r="128">
          <cell r="B128">
            <v>41086</v>
          </cell>
          <cell r="C128" t="str">
            <v>Educacion y Humanidades</v>
          </cell>
          <cell r="D128" t="str">
            <v>Viña</v>
          </cell>
          <cell r="E128" t="str">
            <v>Presencial</v>
          </cell>
          <cell r="F128" t="str">
            <v>UNAB15760</v>
          </cell>
          <cell r="G128" t="str">
            <v>VIN</v>
          </cell>
          <cell r="H128" t="str">
            <v>Pedagogía en Inglés para la enseñanza básica y media</v>
          </cell>
          <cell r="I128" t="str">
            <v>94 - Escuela de Formación Docente</v>
          </cell>
          <cell r="J128" t="str">
            <v>NO APLICA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NO</v>
          </cell>
          <cell r="O128" t="str">
            <v>MANTENER</v>
          </cell>
          <cell r="P128">
            <v>0.2</v>
          </cell>
          <cell r="Q128">
            <v>0.3</v>
          </cell>
          <cell r="R128">
            <v>0.15</v>
          </cell>
          <cell r="S128">
            <v>0.2</v>
          </cell>
          <cell r="T128" t="str">
            <v>-</v>
          </cell>
          <cell r="U128">
            <v>0.15</v>
          </cell>
          <cell r="V128">
            <v>0.15</v>
          </cell>
          <cell r="W128">
            <v>0</v>
          </cell>
          <cell r="X128">
            <v>528</v>
          </cell>
          <cell r="Y128" t="str">
            <v>SI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 t="str">
            <v>Ley Educacion</v>
          </cell>
          <cell r="AI128">
            <v>0</v>
          </cell>
          <cell r="AJ128">
            <v>0</v>
          </cell>
          <cell r="AK128" t="e">
            <v>#VALUE!</v>
          </cell>
          <cell r="AL128" t="e">
            <v>#VALUE!</v>
          </cell>
          <cell r="AM128">
            <v>2</v>
          </cell>
          <cell r="AN128">
            <v>488.05</v>
          </cell>
          <cell r="AO128">
            <v>427.05</v>
          </cell>
          <cell r="AP128">
            <v>491.75</v>
          </cell>
          <cell r="AQ128">
            <v>585</v>
          </cell>
          <cell r="AR128">
            <v>93.25</v>
          </cell>
          <cell r="AS128">
            <v>585</v>
          </cell>
          <cell r="AT128">
            <v>568</v>
          </cell>
        </row>
        <row r="129">
          <cell r="B129">
            <v>41019</v>
          </cell>
          <cell r="C129" t="str">
            <v>Arquitectura,Arte Diseño y Comunicación</v>
          </cell>
          <cell r="D129" t="str">
            <v>Santiago</v>
          </cell>
          <cell r="E129" t="str">
            <v>Presencial</v>
          </cell>
          <cell r="F129" t="str">
            <v>UNAB11800</v>
          </cell>
          <cell r="G129" t="str">
            <v>CCR</v>
          </cell>
          <cell r="H129" t="str">
            <v>Periodismo</v>
          </cell>
          <cell r="I129" t="e">
            <v>#N/A</v>
          </cell>
          <cell r="J129" t="str">
            <v>NO APLICA</v>
          </cell>
          <cell r="K129">
            <v>550</v>
          </cell>
          <cell r="L129" t="str">
            <v>Mantener</v>
          </cell>
          <cell r="M129">
            <v>550</v>
          </cell>
          <cell r="N129">
            <v>1</v>
          </cell>
          <cell r="O129" t="str">
            <v>MANTENER</v>
          </cell>
          <cell r="P129">
            <v>0.2</v>
          </cell>
          <cell r="Q129">
            <v>0.3</v>
          </cell>
          <cell r="R129">
            <v>0.25</v>
          </cell>
          <cell r="S129">
            <v>0.15</v>
          </cell>
          <cell r="T129" t="str">
            <v>-</v>
          </cell>
          <cell r="U129">
            <v>0.1</v>
          </cell>
          <cell r="V129">
            <v>0.1</v>
          </cell>
          <cell r="W129">
            <v>0</v>
          </cell>
          <cell r="X129">
            <v>458</v>
          </cell>
          <cell r="Y129" t="str">
            <v>SI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2</v>
          </cell>
          <cell r="AI129">
            <v>3</v>
          </cell>
          <cell r="AJ129">
            <v>0</v>
          </cell>
          <cell r="AK129">
            <v>19</v>
          </cell>
          <cell r="AL129">
            <v>16</v>
          </cell>
          <cell r="AM129">
            <v>21</v>
          </cell>
          <cell r="AN129">
            <v>458</v>
          </cell>
          <cell r="AO129">
            <v>418.45</v>
          </cell>
          <cell r="AP129">
            <v>441.8</v>
          </cell>
          <cell r="AQ129">
            <v>446.05</v>
          </cell>
          <cell r="AR129">
            <v>4.25</v>
          </cell>
          <cell r="AS129">
            <v>446.05</v>
          </cell>
          <cell r="AT129">
            <v>450</v>
          </cell>
        </row>
        <row r="130">
          <cell r="B130">
            <v>4</v>
          </cell>
          <cell r="C130" t="str">
            <v>Educacion y Humanidades</v>
          </cell>
          <cell r="D130" t="str">
            <v>Santiago</v>
          </cell>
          <cell r="E130" t="str">
            <v>Presencial</v>
          </cell>
          <cell r="F130" t="str">
            <v>UNAB11283</v>
          </cell>
          <cell r="G130" t="str">
            <v>CAS</v>
          </cell>
          <cell r="H130" t="str">
            <v>Prog. Esp.Lic Artes Musicales</v>
          </cell>
          <cell r="I130" t="str">
            <v>80 - Departamento de Humanidades</v>
          </cell>
          <cell r="J130" t="str">
            <v>NO APLICA</v>
          </cell>
          <cell r="K130" t="str">
            <v>NO</v>
          </cell>
          <cell r="L130" t="str">
            <v>NO</v>
          </cell>
          <cell r="M130" t="str">
            <v>NO</v>
          </cell>
          <cell r="N130" t="str">
            <v>NO</v>
          </cell>
          <cell r="O130" t="str">
            <v>MANTENER</v>
          </cell>
          <cell r="P130">
            <v>0</v>
          </cell>
          <cell r="Q130" t="str">
            <v>-</v>
          </cell>
          <cell r="R130" t="str">
            <v>-</v>
          </cell>
          <cell r="S130" t="str">
            <v>-</v>
          </cell>
          <cell r="T130" t="str">
            <v>-</v>
          </cell>
          <cell r="U130" t="str">
            <v>-</v>
          </cell>
          <cell r="V130" t="str">
            <v>-</v>
          </cell>
          <cell r="W130">
            <v>0</v>
          </cell>
          <cell r="X130" t="str">
            <v>-</v>
          </cell>
          <cell r="Y130" t="str">
            <v>NO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 t="str">
            <v>-</v>
          </cell>
          <cell r="AR130" t="str">
            <v>-</v>
          </cell>
          <cell r="AS130" t="str">
            <v>-</v>
          </cell>
          <cell r="AT130" t="str">
            <v>-</v>
          </cell>
        </row>
        <row r="131">
          <cell r="B131">
            <v>5</v>
          </cell>
          <cell r="C131" t="str">
            <v>Economia y Negocios</v>
          </cell>
          <cell r="D131" t="str">
            <v>Santiago</v>
          </cell>
          <cell r="E131" t="str">
            <v>Presencial</v>
          </cell>
          <cell r="F131" t="str">
            <v>UNAB21652</v>
          </cell>
          <cell r="G131" t="str">
            <v>REP</v>
          </cell>
          <cell r="H131" t="str">
            <v>Prog. Ingeniería Comercial (Vesp)</v>
          </cell>
          <cell r="I131" t="e">
            <v>#N/A</v>
          </cell>
          <cell r="J131" t="str">
            <v>NO APLICA</v>
          </cell>
          <cell r="K131" t="str">
            <v>NO</v>
          </cell>
          <cell r="L131" t="str">
            <v>NO</v>
          </cell>
          <cell r="M131" t="str">
            <v>NO</v>
          </cell>
          <cell r="N131" t="str">
            <v>NO</v>
          </cell>
          <cell r="O131" t="str">
            <v>MANTENER</v>
          </cell>
          <cell r="P131" t="str">
            <v>-</v>
          </cell>
          <cell r="Q131" t="str">
            <v>-</v>
          </cell>
          <cell r="R131" t="str">
            <v>-</v>
          </cell>
          <cell r="S131" t="str">
            <v>-</v>
          </cell>
          <cell r="T131" t="str">
            <v>-</v>
          </cell>
          <cell r="U131" t="str">
            <v>-</v>
          </cell>
          <cell r="V131" t="str">
            <v>-</v>
          </cell>
          <cell r="W131">
            <v>0</v>
          </cell>
          <cell r="X131" t="str">
            <v>-</v>
          </cell>
          <cell r="Y131" t="str">
            <v>NO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3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 t="str">
            <v>-</v>
          </cell>
          <cell r="AR131" t="str">
            <v>-</v>
          </cell>
          <cell r="AS131" t="str">
            <v>-</v>
          </cell>
          <cell r="AT131" t="str">
            <v>-</v>
          </cell>
        </row>
        <row r="132">
          <cell r="B132">
            <v>41015</v>
          </cell>
          <cell r="C132" t="str">
            <v>Ciencias Sociales</v>
          </cell>
          <cell r="D132" t="str">
            <v>Santiago</v>
          </cell>
          <cell r="E132" t="str">
            <v>Presencial</v>
          </cell>
          <cell r="F132" t="str">
            <v>UNAB11900</v>
          </cell>
          <cell r="G132" t="str">
            <v>CAS</v>
          </cell>
          <cell r="H132" t="str">
            <v>Psicología</v>
          </cell>
          <cell r="I132" t="e">
            <v>#N/A</v>
          </cell>
          <cell r="J132" t="str">
            <v>NO APLICA</v>
          </cell>
          <cell r="K132">
            <v>650</v>
          </cell>
          <cell r="L132" t="str">
            <v>600↓</v>
          </cell>
          <cell r="M132">
            <v>600</v>
          </cell>
          <cell r="N132">
            <v>1</v>
          </cell>
          <cell r="O132" t="str">
            <v>MANTENER</v>
          </cell>
          <cell r="P132">
            <v>0.1</v>
          </cell>
          <cell r="Q132">
            <v>0.2</v>
          </cell>
          <cell r="R132">
            <v>0.4</v>
          </cell>
          <cell r="S132">
            <v>0.1</v>
          </cell>
          <cell r="T132" t="str">
            <v>-</v>
          </cell>
          <cell r="U132">
            <v>0.2</v>
          </cell>
          <cell r="V132">
            <v>0.2</v>
          </cell>
          <cell r="W132">
            <v>0</v>
          </cell>
          <cell r="X132">
            <v>458</v>
          </cell>
          <cell r="Y132" t="str">
            <v>SI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4</v>
          </cell>
          <cell r="AH132">
            <v>2</v>
          </cell>
          <cell r="AI132">
            <v>3</v>
          </cell>
          <cell r="AJ132">
            <v>0</v>
          </cell>
          <cell r="AK132">
            <v>40</v>
          </cell>
          <cell r="AL132">
            <v>37</v>
          </cell>
          <cell r="AM132">
            <v>46</v>
          </cell>
          <cell r="AN132">
            <v>624.9</v>
          </cell>
          <cell r="AO132">
            <v>593.1</v>
          </cell>
          <cell r="AP132">
            <v>566.20000000000005</v>
          </cell>
          <cell r="AQ132">
            <v>514.29999999999995</v>
          </cell>
          <cell r="AR132">
            <v>-51.900000000000091</v>
          </cell>
          <cell r="AS132">
            <v>444.5</v>
          </cell>
          <cell r="AT132">
            <v>450</v>
          </cell>
        </row>
        <row r="133">
          <cell r="B133">
            <v>41104</v>
          </cell>
          <cell r="C133" t="str">
            <v>Ciencias Sociales</v>
          </cell>
          <cell r="D133" t="str">
            <v xml:space="preserve">Concepción </v>
          </cell>
          <cell r="E133" t="str">
            <v>Presencial</v>
          </cell>
          <cell r="F133" t="str">
            <v>UNAB11900</v>
          </cell>
          <cell r="G133" t="str">
            <v>CON</v>
          </cell>
          <cell r="H133" t="str">
            <v>Psicología</v>
          </cell>
          <cell r="I133" t="e">
            <v>#N/A</v>
          </cell>
          <cell r="J133" t="str">
            <v>NO APLICA</v>
          </cell>
          <cell r="K133">
            <v>650</v>
          </cell>
          <cell r="L133" t="str">
            <v>550↓↓</v>
          </cell>
          <cell r="M133">
            <v>550</v>
          </cell>
          <cell r="N133">
            <v>1</v>
          </cell>
          <cell r="O133" t="str">
            <v>MANTENER</v>
          </cell>
          <cell r="P133">
            <v>0.1</v>
          </cell>
          <cell r="Q133">
            <v>0.2</v>
          </cell>
          <cell r="R133">
            <v>0.4</v>
          </cell>
          <cell r="S133">
            <v>0.1</v>
          </cell>
          <cell r="T133" t="str">
            <v>-</v>
          </cell>
          <cell r="U133">
            <v>0.2</v>
          </cell>
          <cell r="V133">
            <v>0.2</v>
          </cell>
          <cell r="W133">
            <v>0</v>
          </cell>
          <cell r="X133">
            <v>458</v>
          </cell>
          <cell r="Y133" t="str">
            <v>SI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4</v>
          </cell>
          <cell r="AH133">
            <v>2</v>
          </cell>
          <cell r="AI133">
            <v>3</v>
          </cell>
          <cell r="AJ133">
            <v>0</v>
          </cell>
          <cell r="AK133">
            <v>14</v>
          </cell>
          <cell r="AL133">
            <v>11</v>
          </cell>
          <cell r="AM133">
            <v>20</v>
          </cell>
          <cell r="AN133">
            <v>613.4</v>
          </cell>
          <cell r="AO133">
            <v>574.29999999999995</v>
          </cell>
          <cell r="AP133">
            <v>425.1</v>
          </cell>
          <cell r="AQ133">
            <v>436</v>
          </cell>
          <cell r="AR133">
            <v>10.899999999999977</v>
          </cell>
          <cell r="AS133">
            <v>436</v>
          </cell>
          <cell r="AT133">
            <v>450</v>
          </cell>
        </row>
        <row r="134">
          <cell r="B134">
            <v>41068</v>
          </cell>
          <cell r="C134" t="str">
            <v>Ciencias Sociales</v>
          </cell>
          <cell r="D134" t="str">
            <v>Viña</v>
          </cell>
          <cell r="E134" t="str">
            <v>Presencial</v>
          </cell>
          <cell r="F134" t="str">
            <v>UNAB11900</v>
          </cell>
          <cell r="G134" t="str">
            <v>VIN</v>
          </cell>
          <cell r="H134" t="str">
            <v>Psicología</v>
          </cell>
          <cell r="I134" t="e">
            <v>#N/A</v>
          </cell>
          <cell r="J134" t="str">
            <v>NO APLICA</v>
          </cell>
          <cell r="K134">
            <v>650</v>
          </cell>
          <cell r="L134" t="str">
            <v>600↓</v>
          </cell>
          <cell r="M134">
            <v>600</v>
          </cell>
          <cell r="N134">
            <v>1</v>
          </cell>
          <cell r="O134" t="str">
            <v>MANTENER</v>
          </cell>
          <cell r="P134">
            <v>0.1</v>
          </cell>
          <cell r="Q134">
            <v>0.2</v>
          </cell>
          <cell r="R134">
            <v>0.4</v>
          </cell>
          <cell r="S134">
            <v>0.1</v>
          </cell>
          <cell r="T134" t="str">
            <v>-</v>
          </cell>
          <cell r="U134">
            <v>0.2</v>
          </cell>
          <cell r="V134">
            <v>0.2</v>
          </cell>
          <cell r="W134">
            <v>0</v>
          </cell>
          <cell r="X134">
            <v>458</v>
          </cell>
          <cell r="Y134" t="str">
            <v>SI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4</v>
          </cell>
          <cell r="AH134">
            <v>2</v>
          </cell>
          <cell r="AI134">
            <v>3</v>
          </cell>
          <cell r="AJ134">
            <v>0</v>
          </cell>
          <cell r="AK134">
            <v>17</v>
          </cell>
          <cell r="AL134">
            <v>14</v>
          </cell>
          <cell r="AM134">
            <v>23</v>
          </cell>
          <cell r="AN134">
            <v>613.70000000000005</v>
          </cell>
          <cell r="AO134">
            <v>591.4</v>
          </cell>
          <cell r="AP134">
            <v>545.5</v>
          </cell>
          <cell r="AQ134">
            <v>449.6</v>
          </cell>
          <cell r="AR134">
            <v>-95.899999999999977</v>
          </cell>
          <cell r="AS134">
            <v>449.6</v>
          </cell>
          <cell r="AT134">
            <v>450</v>
          </cell>
        </row>
        <row r="135">
          <cell r="B135">
            <v>41194</v>
          </cell>
          <cell r="C135" t="str">
            <v>Ciencias Sociales</v>
          </cell>
          <cell r="D135" t="str">
            <v xml:space="preserve">Concepción </v>
          </cell>
          <cell r="E135" t="str">
            <v>Semipresencial</v>
          </cell>
          <cell r="F135" t="str">
            <v>UNAB21900</v>
          </cell>
          <cell r="G135" t="str">
            <v>CON</v>
          </cell>
          <cell r="H135" t="str">
            <v>Psicología (Vespertino)</v>
          </cell>
          <cell r="I135" t="e">
            <v>#N/A</v>
          </cell>
          <cell r="J135" t="str">
            <v>NO APLICA</v>
          </cell>
          <cell r="K135">
            <v>500</v>
          </cell>
          <cell r="L135" t="str">
            <v>Mantener</v>
          </cell>
          <cell r="M135">
            <v>500</v>
          </cell>
          <cell r="N135">
            <v>1</v>
          </cell>
          <cell r="O135" t="str">
            <v>MANTENER</v>
          </cell>
          <cell r="P135">
            <v>0.1</v>
          </cell>
          <cell r="Q135">
            <v>0.2</v>
          </cell>
          <cell r="R135">
            <v>0.4</v>
          </cell>
          <cell r="S135">
            <v>0.1</v>
          </cell>
          <cell r="T135" t="str">
            <v>-</v>
          </cell>
          <cell r="U135">
            <v>0.2</v>
          </cell>
          <cell r="V135">
            <v>0.2</v>
          </cell>
          <cell r="W135">
            <v>0</v>
          </cell>
          <cell r="X135">
            <v>458</v>
          </cell>
          <cell r="Y135" t="str">
            <v>NO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4</v>
          </cell>
          <cell r="AH135">
            <v>2</v>
          </cell>
          <cell r="AI135">
            <v>3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516.1</v>
          </cell>
          <cell r="AO135">
            <v>495.3</v>
          </cell>
          <cell r="AP135">
            <v>471.1</v>
          </cell>
          <cell r="AQ135">
            <v>450</v>
          </cell>
          <cell r="AR135">
            <v>-21.100000000000023</v>
          </cell>
          <cell r="AS135">
            <v>450</v>
          </cell>
          <cell r="AT135">
            <v>450</v>
          </cell>
        </row>
        <row r="136">
          <cell r="B136">
            <v>41195</v>
          </cell>
          <cell r="C136" t="str">
            <v>Ciencias Sociales</v>
          </cell>
          <cell r="D136" t="str">
            <v>Santiago</v>
          </cell>
          <cell r="E136" t="str">
            <v>Semipresencial</v>
          </cell>
          <cell r="F136" t="str">
            <v>UNAB21900</v>
          </cell>
          <cell r="G136" t="str">
            <v>REP</v>
          </cell>
          <cell r="H136" t="str">
            <v>Psicología (Vespertino)</v>
          </cell>
          <cell r="I136" t="e">
            <v>#N/A</v>
          </cell>
          <cell r="J136" t="str">
            <v>NO APLICA</v>
          </cell>
          <cell r="K136">
            <v>500</v>
          </cell>
          <cell r="L136" t="str">
            <v>Mantener</v>
          </cell>
          <cell r="M136">
            <v>500</v>
          </cell>
          <cell r="N136">
            <v>1</v>
          </cell>
          <cell r="O136" t="str">
            <v>MANTENER</v>
          </cell>
          <cell r="P136">
            <v>0.1</v>
          </cell>
          <cell r="Q136">
            <v>0.2</v>
          </cell>
          <cell r="R136">
            <v>0.4</v>
          </cell>
          <cell r="S136">
            <v>0.1</v>
          </cell>
          <cell r="T136" t="str">
            <v>-</v>
          </cell>
          <cell r="U136">
            <v>0.2</v>
          </cell>
          <cell r="V136">
            <v>0.2</v>
          </cell>
          <cell r="W136">
            <v>0</v>
          </cell>
          <cell r="X136">
            <v>458</v>
          </cell>
          <cell r="Y136" t="str">
            <v>NO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4</v>
          </cell>
          <cell r="AH136">
            <v>2</v>
          </cell>
          <cell r="AI136">
            <v>3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480.1</v>
          </cell>
          <cell r="AO136">
            <v>435.7</v>
          </cell>
          <cell r="AP136">
            <v>419.2</v>
          </cell>
          <cell r="AQ136">
            <v>450</v>
          </cell>
          <cell r="AR136">
            <v>30.800000000000011</v>
          </cell>
          <cell r="AS136">
            <v>450</v>
          </cell>
          <cell r="AT136">
            <v>450</v>
          </cell>
        </row>
        <row r="137">
          <cell r="B137">
            <v>41196</v>
          </cell>
          <cell r="C137" t="str">
            <v>Ciencias Sociales</v>
          </cell>
          <cell r="D137" t="str">
            <v>Viña</v>
          </cell>
          <cell r="E137" t="str">
            <v>Semipresencial</v>
          </cell>
          <cell r="F137" t="str">
            <v>UNAB21900</v>
          </cell>
          <cell r="G137" t="str">
            <v>VIN</v>
          </cell>
          <cell r="H137" t="str">
            <v>Psicología (Vespertino)</v>
          </cell>
          <cell r="I137" t="e">
            <v>#N/A</v>
          </cell>
          <cell r="J137" t="str">
            <v>NO APLICA</v>
          </cell>
          <cell r="K137">
            <v>500</v>
          </cell>
          <cell r="L137" t="str">
            <v>Mantener</v>
          </cell>
          <cell r="M137">
            <v>500</v>
          </cell>
          <cell r="N137">
            <v>1</v>
          </cell>
          <cell r="O137" t="str">
            <v>MANTENER</v>
          </cell>
          <cell r="P137">
            <v>0.1</v>
          </cell>
          <cell r="Q137">
            <v>0.2</v>
          </cell>
          <cell r="R137">
            <v>0.4</v>
          </cell>
          <cell r="S137">
            <v>0.1</v>
          </cell>
          <cell r="T137" t="str">
            <v>-</v>
          </cell>
          <cell r="U137">
            <v>0.2</v>
          </cell>
          <cell r="V137">
            <v>0.2</v>
          </cell>
          <cell r="W137">
            <v>0</v>
          </cell>
          <cell r="X137">
            <v>458</v>
          </cell>
          <cell r="Y137" t="str">
            <v>NO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4</v>
          </cell>
          <cell r="AH137">
            <v>2</v>
          </cell>
          <cell r="AI137">
            <v>3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492.7</v>
          </cell>
          <cell r="AO137">
            <v>470.2</v>
          </cell>
          <cell r="AP137">
            <v>530.70000000000005</v>
          </cell>
          <cell r="AQ137">
            <v>450</v>
          </cell>
          <cell r="AR137">
            <v>-80.700000000000045</v>
          </cell>
          <cell r="AS137">
            <v>450</v>
          </cell>
          <cell r="AT137">
            <v>450</v>
          </cell>
        </row>
        <row r="138">
          <cell r="B138">
            <v>41042</v>
          </cell>
          <cell r="C138" t="str">
            <v>Educacion y Humanidades</v>
          </cell>
          <cell r="D138" t="str">
            <v>Santiago</v>
          </cell>
          <cell r="E138" t="str">
            <v>Presencial</v>
          </cell>
          <cell r="F138" t="str">
            <v>UNAB13100</v>
          </cell>
          <cell r="G138" t="str">
            <v>CAS</v>
          </cell>
          <cell r="H138" t="str">
            <v>Psicopedagogía</v>
          </cell>
          <cell r="I138" t="str">
            <v>94 - Escuela de Formación Docente</v>
          </cell>
          <cell r="J138" t="str">
            <v>NO APLICA</v>
          </cell>
          <cell r="K138">
            <v>550</v>
          </cell>
          <cell r="L138" t="str">
            <v>Mantener</v>
          </cell>
          <cell r="M138">
            <v>550</v>
          </cell>
          <cell r="N138">
            <v>1</v>
          </cell>
          <cell r="O138" t="str">
            <v>MANTENER</v>
          </cell>
          <cell r="P138">
            <v>0.2</v>
          </cell>
          <cell r="Q138">
            <v>0.3</v>
          </cell>
          <cell r="R138">
            <v>0.2</v>
          </cell>
          <cell r="S138">
            <v>0.2</v>
          </cell>
          <cell r="T138" t="str">
            <v>-</v>
          </cell>
          <cell r="U138">
            <v>0.1</v>
          </cell>
          <cell r="V138">
            <v>0.1</v>
          </cell>
          <cell r="W138">
            <v>0</v>
          </cell>
          <cell r="X138">
            <v>458</v>
          </cell>
          <cell r="Y138" t="str">
            <v>SI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2</v>
          </cell>
          <cell r="AI138">
            <v>3</v>
          </cell>
          <cell r="AJ138">
            <v>0</v>
          </cell>
          <cell r="AK138">
            <v>10</v>
          </cell>
          <cell r="AL138">
            <v>7</v>
          </cell>
          <cell r="AM138">
            <v>12</v>
          </cell>
          <cell r="AN138">
            <v>462.1</v>
          </cell>
          <cell r="AO138">
            <v>421.7</v>
          </cell>
          <cell r="AP138">
            <v>440.2</v>
          </cell>
          <cell r="AQ138">
            <v>515.20000000000005</v>
          </cell>
          <cell r="AR138">
            <v>75.000000000000057</v>
          </cell>
          <cell r="AS138">
            <v>515.20000000000005</v>
          </cell>
          <cell r="AT138">
            <v>450</v>
          </cell>
        </row>
        <row r="139">
          <cell r="B139">
            <v>41087</v>
          </cell>
          <cell r="C139" t="str">
            <v>Educacion y Humanidades</v>
          </cell>
          <cell r="D139" t="str">
            <v>Viña</v>
          </cell>
          <cell r="E139" t="str">
            <v>Presencial</v>
          </cell>
          <cell r="F139" t="str">
            <v>UNAB13100</v>
          </cell>
          <cell r="G139" t="str">
            <v>VIN</v>
          </cell>
          <cell r="H139" t="str">
            <v>Psicopedagogía</v>
          </cell>
          <cell r="I139" t="str">
            <v>94 - Escuela de Formación Docente</v>
          </cell>
          <cell r="J139" t="str">
            <v>NO APLICA</v>
          </cell>
          <cell r="K139">
            <v>550</v>
          </cell>
          <cell r="L139" t="str">
            <v>Mantener</v>
          </cell>
          <cell r="M139">
            <v>550</v>
          </cell>
          <cell r="N139">
            <v>1</v>
          </cell>
          <cell r="O139" t="str">
            <v>MANTENER</v>
          </cell>
          <cell r="P139">
            <v>0.2</v>
          </cell>
          <cell r="Q139">
            <v>0.3</v>
          </cell>
          <cell r="R139">
            <v>0.2</v>
          </cell>
          <cell r="S139">
            <v>0.2</v>
          </cell>
          <cell r="T139" t="str">
            <v>-</v>
          </cell>
          <cell r="U139">
            <v>0.1</v>
          </cell>
          <cell r="V139">
            <v>0.1</v>
          </cell>
          <cell r="W139">
            <v>0</v>
          </cell>
          <cell r="X139">
            <v>458</v>
          </cell>
          <cell r="Y139" t="str">
            <v>SI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2</v>
          </cell>
          <cell r="AI139">
            <v>3</v>
          </cell>
          <cell r="AJ139">
            <v>0</v>
          </cell>
          <cell r="AK139">
            <v>8</v>
          </cell>
          <cell r="AL139">
            <v>5</v>
          </cell>
          <cell r="AM139">
            <v>10</v>
          </cell>
          <cell r="AN139">
            <v>501</v>
          </cell>
          <cell r="AO139">
            <v>472.2</v>
          </cell>
          <cell r="AP139">
            <v>482.3</v>
          </cell>
          <cell r="AQ139">
            <v>499.2</v>
          </cell>
          <cell r="AR139">
            <v>16.899999999999977</v>
          </cell>
          <cell r="AS139">
            <v>499.2</v>
          </cell>
          <cell r="AT139">
            <v>450</v>
          </cell>
        </row>
        <row r="140">
          <cell r="B140">
            <v>41020</v>
          </cell>
          <cell r="C140" t="str">
            <v>Arquitectura,Arte Diseño y Comunicación</v>
          </cell>
          <cell r="D140" t="str">
            <v>Santiago</v>
          </cell>
          <cell r="E140" t="str">
            <v>Presencial</v>
          </cell>
          <cell r="F140" t="str">
            <v>UNAB11850</v>
          </cell>
          <cell r="G140" t="str">
            <v>CCR</v>
          </cell>
          <cell r="H140" t="str">
            <v>Publicidad</v>
          </cell>
          <cell r="I140" t="e">
            <v>#N/A</v>
          </cell>
          <cell r="J140" t="str">
            <v>NO APLICA</v>
          </cell>
          <cell r="K140">
            <v>550</v>
          </cell>
          <cell r="L140" t="str">
            <v>Mantener</v>
          </cell>
          <cell r="M140">
            <v>550</v>
          </cell>
          <cell r="N140">
            <v>1</v>
          </cell>
          <cell r="O140" t="str">
            <v>MANTENER</v>
          </cell>
          <cell r="P140">
            <v>0.3</v>
          </cell>
          <cell r="Q140">
            <v>0.2</v>
          </cell>
          <cell r="R140">
            <v>0.3</v>
          </cell>
          <cell r="S140">
            <v>0.1</v>
          </cell>
          <cell r="T140" t="str">
            <v>-</v>
          </cell>
          <cell r="U140">
            <v>0.1</v>
          </cell>
          <cell r="V140">
            <v>0.1</v>
          </cell>
          <cell r="W140">
            <v>0</v>
          </cell>
          <cell r="X140">
            <v>458</v>
          </cell>
          <cell r="Y140" t="str">
            <v>SI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3</v>
          </cell>
          <cell r="AH140">
            <v>2</v>
          </cell>
          <cell r="AI140">
            <v>3</v>
          </cell>
          <cell r="AJ140">
            <v>0</v>
          </cell>
          <cell r="AK140">
            <v>1</v>
          </cell>
          <cell r="AL140">
            <v>-2</v>
          </cell>
          <cell r="AM140">
            <v>6</v>
          </cell>
          <cell r="AN140">
            <v>497.5</v>
          </cell>
          <cell r="AO140">
            <v>432.6</v>
          </cell>
          <cell r="AP140">
            <v>386.4</v>
          </cell>
          <cell r="AQ140">
            <v>466.7</v>
          </cell>
          <cell r="AR140">
            <v>80.300000000000011</v>
          </cell>
          <cell r="AS140">
            <v>466.7</v>
          </cell>
          <cell r="AT140">
            <v>470</v>
          </cell>
        </row>
        <row r="141">
          <cell r="B141">
            <v>41210</v>
          </cell>
          <cell r="C141" t="str">
            <v>Arquitectura,Arte Diseño y Comunicación</v>
          </cell>
          <cell r="D141" t="str">
            <v xml:space="preserve">Concepción </v>
          </cell>
          <cell r="E141" t="str">
            <v>Presencial</v>
          </cell>
          <cell r="F141" t="str">
            <v>UNAB11850</v>
          </cell>
          <cell r="G141" t="str">
            <v>CON</v>
          </cell>
          <cell r="H141" t="str">
            <v>Publicidad</v>
          </cell>
          <cell r="I141" t="e">
            <v>#N/A</v>
          </cell>
          <cell r="J141" t="str">
            <v>NO APLICA</v>
          </cell>
          <cell r="K141">
            <v>550</v>
          </cell>
          <cell r="L141" t="str">
            <v>Mantener</v>
          </cell>
          <cell r="M141">
            <v>550</v>
          </cell>
          <cell r="N141">
            <v>1</v>
          </cell>
          <cell r="O141" t="str">
            <v>MANTENER</v>
          </cell>
          <cell r="P141">
            <v>0.3</v>
          </cell>
          <cell r="Q141">
            <v>0.2</v>
          </cell>
          <cell r="R141">
            <v>0.3</v>
          </cell>
          <cell r="S141">
            <v>0.1</v>
          </cell>
          <cell r="T141" t="str">
            <v>-</v>
          </cell>
          <cell r="U141">
            <v>0.1</v>
          </cell>
          <cell r="V141">
            <v>0.1</v>
          </cell>
          <cell r="W141">
            <v>0</v>
          </cell>
          <cell r="X141">
            <v>458</v>
          </cell>
          <cell r="Y141" t="str">
            <v>SI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3</v>
          </cell>
          <cell r="AH141">
            <v>2</v>
          </cell>
          <cell r="AI141">
            <v>3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497.5</v>
          </cell>
          <cell r="AO141">
            <v>397</v>
          </cell>
          <cell r="AP141">
            <v>538.79999999999995</v>
          </cell>
          <cell r="AQ141">
            <v>587</v>
          </cell>
          <cell r="AR141">
            <v>48.200000000000045</v>
          </cell>
          <cell r="AS141">
            <v>587</v>
          </cell>
          <cell r="AT141">
            <v>470</v>
          </cell>
        </row>
        <row r="142">
          <cell r="B142">
            <v>41167</v>
          </cell>
          <cell r="C142" t="str">
            <v>Medicina</v>
          </cell>
          <cell r="D142" t="str">
            <v xml:space="preserve">Concepción </v>
          </cell>
          <cell r="E142" t="str">
            <v>Presencial</v>
          </cell>
          <cell r="F142" t="str">
            <v>UNAB19510</v>
          </cell>
          <cell r="G142" t="str">
            <v>CON</v>
          </cell>
          <cell r="H142" t="str">
            <v>Química y Farmacia</v>
          </cell>
          <cell r="I142" t="e">
            <v>#N/A</v>
          </cell>
          <cell r="J142" t="str">
            <v>NO APLICA</v>
          </cell>
          <cell r="K142">
            <v>600</v>
          </cell>
          <cell r="L142" t="str">
            <v>Mantener</v>
          </cell>
          <cell r="M142">
            <v>600</v>
          </cell>
          <cell r="N142" t="str">
            <v>NO</v>
          </cell>
          <cell r="O142" t="str">
            <v>MANTENER</v>
          </cell>
          <cell r="P142">
            <v>0.2</v>
          </cell>
          <cell r="Q142">
            <v>0.3</v>
          </cell>
          <cell r="R142">
            <v>0.1</v>
          </cell>
          <cell r="S142">
            <v>0.3</v>
          </cell>
          <cell r="T142" t="str">
            <v>-</v>
          </cell>
          <cell r="U142" t="str">
            <v>-</v>
          </cell>
          <cell r="V142">
            <v>0.1</v>
          </cell>
          <cell r="W142">
            <v>0</v>
          </cell>
          <cell r="X142">
            <v>458</v>
          </cell>
          <cell r="Y142" t="str">
            <v>SI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5</v>
          </cell>
          <cell r="AG142">
            <v>3</v>
          </cell>
          <cell r="AH142">
            <v>2</v>
          </cell>
          <cell r="AI142">
            <v>3</v>
          </cell>
          <cell r="AJ142">
            <v>0</v>
          </cell>
          <cell r="AK142">
            <v>0</v>
          </cell>
          <cell r="AL142">
            <v>-3</v>
          </cell>
          <cell r="AM142">
            <v>10</v>
          </cell>
          <cell r="AN142">
            <v>485.3</v>
          </cell>
          <cell r="AO142">
            <v>669.9</v>
          </cell>
          <cell r="AP142">
            <v>711.9</v>
          </cell>
          <cell r="AQ142">
            <v>699.4</v>
          </cell>
          <cell r="AR142">
            <v>-12.5</v>
          </cell>
          <cell r="AS142">
            <v>699.4</v>
          </cell>
          <cell r="AT142">
            <v>650</v>
          </cell>
        </row>
        <row r="143">
          <cell r="B143">
            <v>41058</v>
          </cell>
          <cell r="C143" t="str">
            <v>Medicina</v>
          </cell>
          <cell r="D143" t="str">
            <v>Santiago</v>
          </cell>
          <cell r="E143" t="str">
            <v>Presencial</v>
          </cell>
          <cell r="F143" t="str">
            <v>UNAB19510</v>
          </cell>
          <cell r="G143" t="str">
            <v>REP</v>
          </cell>
          <cell r="H143" t="str">
            <v>Química y Farmacia</v>
          </cell>
          <cell r="I143" t="e">
            <v>#N/A</v>
          </cell>
          <cell r="J143" t="str">
            <v>NO APLICA</v>
          </cell>
          <cell r="K143">
            <v>600</v>
          </cell>
          <cell r="L143" t="str">
            <v>Mantener</v>
          </cell>
          <cell r="M143">
            <v>600</v>
          </cell>
          <cell r="N143" t="str">
            <v>NO</v>
          </cell>
          <cell r="O143" t="str">
            <v>MANTENER</v>
          </cell>
          <cell r="P143">
            <v>0.2</v>
          </cell>
          <cell r="Q143">
            <v>0.3</v>
          </cell>
          <cell r="R143">
            <v>0.1</v>
          </cell>
          <cell r="S143">
            <v>0.3</v>
          </cell>
          <cell r="T143" t="str">
            <v>-</v>
          </cell>
          <cell r="U143" t="str">
            <v>-</v>
          </cell>
          <cell r="V143">
            <v>0.1</v>
          </cell>
          <cell r="W143">
            <v>0</v>
          </cell>
          <cell r="X143">
            <v>458</v>
          </cell>
          <cell r="Y143" t="str">
            <v>SI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10</v>
          </cell>
          <cell r="AG143">
            <v>3</v>
          </cell>
          <cell r="AH143">
            <v>2</v>
          </cell>
          <cell r="AI143">
            <v>3</v>
          </cell>
          <cell r="AJ143">
            <v>0</v>
          </cell>
          <cell r="AK143">
            <v>1</v>
          </cell>
          <cell r="AL143">
            <v>-2</v>
          </cell>
          <cell r="AM143">
            <v>16</v>
          </cell>
          <cell r="AN143">
            <v>437.2</v>
          </cell>
          <cell r="AO143">
            <v>692.7</v>
          </cell>
          <cell r="AP143">
            <v>695.7</v>
          </cell>
          <cell r="AQ143">
            <v>726.4</v>
          </cell>
          <cell r="AR143">
            <v>30.699999999999932</v>
          </cell>
          <cell r="AS143">
            <v>726.4</v>
          </cell>
          <cell r="AT143">
            <v>650</v>
          </cell>
        </row>
        <row r="144">
          <cell r="B144">
            <v>41097</v>
          </cell>
          <cell r="C144" t="str">
            <v>Medicina</v>
          </cell>
          <cell r="D144" t="str">
            <v>Viña</v>
          </cell>
          <cell r="E144" t="str">
            <v>Presencial</v>
          </cell>
          <cell r="F144" t="str">
            <v>UNAB19510</v>
          </cell>
          <cell r="G144" t="str">
            <v>VIN</v>
          </cell>
          <cell r="H144" t="str">
            <v>Química y Farmacia</v>
          </cell>
          <cell r="I144" t="e">
            <v>#N/A</v>
          </cell>
          <cell r="J144" t="str">
            <v>NO APLICA</v>
          </cell>
          <cell r="K144">
            <v>600</v>
          </cell>
          <cell r="L144" t="str">
            <v>Mantener</v>
          </cell>
          <cell r="M144">
            <v>600</v>
          </cell>
          <cell r="N144" t="str">
            <v>NO</v>
          </cell>
          <cell r="O144" t="str">
            <v>MANTENER</v>
          </cell>
          <cell r="P144">
            <v>0.2</v>
          </cell>
          <cell r="Q144">
            <v>0.3</v>
          </cell>
          <cell r="R144">
            <v>0.1</v>
          </cell>
          <cell r="S144">
            <v>0.3</v>
          </cell>
          <cell r="T144" t="str">
            <v>-</v>
          </cell>
          <cell r="U144" t="str">
            <v>-</v>
          </cell>
          <cell r="V144">
            <v>0.1</v>
          </cell>
          <cell r="W144">
            <v>0</v>
          </cell>
          <cell r="X144">
            <v>458</v>
          </cell>
          <cell r="Y144" t="str">
            <v>SI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5</v>
          </cell>
          <cell r="AG144">
            <v>3</v>
          </cell>
          <cell r="AH144">
            <v>2</v>
          </cell>
          <cell r="AI144">
            <v>3</v>
          </cell>
          <cell r="AJ144">
            <v>0</v>
          </cell>
          <cell r="AK144">
            <v>0</v>
          </cell>
          <cell r="AL144">
            <v>-3</v>
          </cell>
          <cell r="AM144">
            <v>10</v>
          </cell>
          <cell r="AN144">
            <v>465.1</v>
          </cell>
          <cell r="AO144">
            <v>640</v>
          </cell>
          <cell r="AP144">
            <v>693</v>
          </cell>
          <cell r="AQ144">
            <v>641.9</v>
          </cell>
          <cell r="AR144">
            <v>-51.100000000000023</v>
          </cell>
          <cell r="AS144">
            <v>641.9</v>
          </cell>
          <cell r="AT144">
            <v>650</v>
          </cell>
        </row>
        <row r="145">
          <cell r="B145">
            <v>41016</v>
          </cell>
          <cell r="C145" t="str">
            <v>Ciencias Sociales</v>
          </cell>
          <cell r="D145" t="str">
            <v>Santiago</v>
          </cell>
          <cell r="E145" t="str">
            <v>Presencial</v>
          </cell>
          <cell r="F145" t="str">
            <v>UNAB11910</v>
          </cell>
          <cell r="G145" t="str">
            <v>REP</v>
          </cell>
          <cell r="H145" t="str">
            <v>Sociología</v>
          </cell>
          <cell r="I145" t="str">
            <v>A3 - Escuela de trabajo social y sociología</v>
          </cell>
          <cell r="J145" t="str">
            <v>NO APLICA</v>
          </cell>
          <cell r="K145">
            <v>550</v>
          </cell>
          <cell r="L145" t="str">
            <v>Mantener</v>
          </cell>
          <cell r="M145">
            <v>550</v>
          </cell>
          <cell r="N145">
            <v>1</v>
          </cell>
          <cell r="O145" t="str">
            <v>MANTENER</v>
          </cell>
          <cell r="P145">
            <v>0.2</v>
          </cell>
          <cell r="Q145">
            <v>0.3</v>
          </cell>
          <cell r="R145">
            <v>0.1</v>
          </cell>
          <cell r="S145">
            <v>0.2</v>
          </cell>
          <cell r="T145" t="str">
            <v>-</v>
          </cell>
          <cell r="U145">
            <v>0.2</v>
          </cell>
          <cell r="V145">
            <v>0.2</v>
          </cell>
          <cell r="W145">
            <v>0</v>
          </cell>
          <cell r="X145">
            <v>458</v>
          </cell>
          <cell r="Y145" t="str">
            <v>SI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2</v>
          </cell>
          <cell r="AH145">
            <v>2</v>
          </cell>
          <cell r="AI145">
            <v>3</v>
          </cell>
          <cell r="AJ145">
            <v>0</v>
          </cell>
          <cell r="AK145">
            <v>-4</v>
          </cell>
          <cell r="AL145">
            <v>-7</v>
          </cell>
          <cell r="AM145">
            <v>0</v>
          </cell>
          <cell r="AN145">
            <v>479</v>
          </cell>
          <cell r="AO145">
            <v>441.5</v>
          </cell>
          <cell r="AP145">
            <v>485.6</v>
          </cell>
          <cell r="AQ145">
            <v>535.5</v>
          </cell>
          <cell r="AR145">
            <v>49.899999999999977</v>
          </cell>
          <cell r="AS145">
            <v>535.5</v>
          </cell>
          <cell r="AT145">
            <v>450</v>
          </cell>
        </row>
        <row r="146">
          <cell r="B146">
            <v>41126</v>
          </cell>
          <cell r="C146" t="str">
            <v>Medicina</v>
          </cell>
          <cell r="D146" t="str">
            <v xml:space="preserve">Concepción </v>
          </cell>
          <cell r="E146" t="str">
            <v>Presencial</v>
          </cell>
          <cell r="F146" t="str">
            <v>UNAB19600</v>
          </cell>
          <cell r="G146" t="str">
            <v>CON</v>
          </cell>
          <cell r="H146" t="str">
            <v>Tecnología Médica</v>
          </cell>
          <cell r="I146" t="e">
            <v>#N/A</v>
          </cell>
          <cell r="J146" t="str">
            <v>NO APLICA</v>
          </cell>
          <cell r="K146">
            <v>650</v>
          </cell>
          <cell r="L146" t="str">
            <v>600↓</v>
          </cell>
          <cell r="M146">
            <v>600</v>
          </cell>
          <cell r="N146">
            <v>1</v>
          </cell>
          <cell r="O146" t="str">
            <v>MANTENER</v>
          </cell>
          <cell r="P146">
            <v>0.2</v>
          </cell>
          <cell r="Q146">
            <v>0.3</v>
          </cell>
          <cell r="R146">
            <v>0.1</v>
          </cell>
          <cell r="S146">
            <v>0.3</v>
          </cell>
          <cell r="T146" t="str">
            <v>-</v>
          </cell>
          <cell r="U146" t="str">
            <v>-</v>
          </cell>
          <cell r="V146">
            <v>0.1</v>
          </cell>
          <cell r="W146">
            <v>0</v>
          </cell>
          <cell r="X146">
            <v>458</v>
          </cell>
          <cell r="Y146" t="str">
            <v>SI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8</v>
          </cell>
          <cell r="AG146">
            <v>10</v>
          </cell>
          <cell r="AH146">
            <v>2</v>
          </cell>
          <cell r="AI146">
            <v>3</v>
          </cell>
          <cell r="AJ146">
            <v>0</v>
          </cell>
          <cell r="AK146">
            <v>-5</v>
          </cell>
          <cell r="AL146">
            <v>-8</v>
          </cell>
          <cell r="AM146">
            <v>15</v>
          </cell>
          <cell r="AN146">
            <v>606.29999999999995</v>
          </cell>
          <cell r="AO146">
            <v>602.20000000000005</v>
          </cell>
          <cell r="AP146">
            <v>578</v>
          </cell>
          <cell r="AQ146">
            <v>462</v>
          </cell>
          <cell r="AR146">
            <v>-116</v>
          </cell>
          <cell r="AS146">
            <v>462</v>
          </cell>
          <cell r="AT146">
            <v>450</v>
          </cell>
        </row>
        <row r="147">
          <cell r="B147">
            <v>41059</v>
          </cell>
          <cell r="C147" t="str">
            <v>Medicina</v>
          </cell>
          <cell r="D147" t="str">
            <v>Santiago</v>
          </cell>
          <cell r="E147" t="str">
            <v>Presencial</v>
          </cell>
          <cell r="F147" t="str">
            <v>UNAB19600</v>
          </cell>
          <cell r="G147" t="str">
            <v>REP</v>
          </cell>
          <cell r="H147" t="str">
            <v>Tecnología Médica</v>
          </cell>
          <cell r="I147" t="e">
            <v>#N/A</v>
          </cell>
          <cell r="J147" t="str">
            <v>NO APLICA</v>
          </cell>
          <cell r="K147">
            <v>650</v>
          </cell>
          <cell r="L147" t="str">
            <v>600↓</v>
          </cell>
          <cell r="M147">
            <v>600</v>
          </cell>
          <cell r="N147">
            <v>1</v>
          </cell>
          <cell r="O147" t="str">
            <v>MANTENER</v>
          </cell>
          <cell r="P147">
            <v>0.2</v>
          </cell>
          <cell r="Q147">
            <v>0.3</v>
          </cell>
          <cell r="R147">
            <v>0.1</v>
          </cell>
          <cell r="S147">
            <v>0.3</v>
          </cell>
          <cell r="T147" t="str">
            <v>-</v>
          </cell>
          <cell r="U147" t="str">
            <v>-</v>
          </cell>
          <cell r="V147">
            <v>0.1</v>
          </cell>
          <cell r="W147">
            <v>0</v>
          </cell>
          <cell r="X147">
            <v>458</v>
          </cell>
          <cell r="Y147" t="str">
            <v>SI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15</v>
          </cell>
          <cell r="AG147">
            <v>15</v>
          </cell>
          <cell r="AH147">
            <v>2</v>
          </cell>
          <cell r="AI147">
            <v>3</v>
          </cell>
          <cell r="AJ147">
            <v>0</v>
          </cell>
          <cell r="AK147">
            <v>9</v>
          </cell>
          <cell r="AL147">
            <v>6</v>
          </cell>
          <cell r="AM147">
            <v>41</v>
          </cell>
          <cell r="AN147">
            <v>506.4</v>
          </cell>
          <cell r="AO147">
            <v>571.9</v>
          </cell>
          <cell r="AP147">
            <v>419.5</v>
          </cell>
          <cell r="AQ147">
            <v>440.1</v>
          </cell>
          <cell r="AR147">
            <v>20.600000000000023</v>
          </cell>
          <cell r="AS147">
            <v>440.1</v>
          </cell>
          <cell r="AT147">
            <v>450</v>
          </cell>
        </row>
        <row r="148">
          <cell r="B148">
            <v>41098</v>
          </cell>
          <cell r="C148" t="str">
            <v>Medicina</v>
          </cell>
          <cell r="D148" t="str">
            <v>Viña</v>
          </cell>
          <cell r="E148" t="str">
            <v>Presencial</v>
          </cell>
          <cell r="F148" t="str">
            <v>UNAB19600</v>
          </cell>
          <cell r="G148" t="str">
            <v>VIN</v>
          </cell>
          <cell r="H148" t="str">
            <v>Tecnología Médica</v>
          </cell>
          <cell r="I148" t="e">
            <v>#N/A</v>
          </cell>
          <cell r="J148" t="str">
            <v>NO APLICA</v>
          </cell>
          <cell r="K148">
            <v>650</v>
          </cell>
          <cell r="L148" t="str">
            <v>600↓</v>
          </cell>
          <cell r="M148">
            <v>600</v>
          </cell>
          <cell r="N148">
            <v>1</v>
          </cell>
          <cell r="O148" t="str">
            <v>MANTENER</v>
          </cell>
          <cell r="P148">
            <v>0.2</v>
          </cell>
          <cell r="Q148">
            <v>0.3</v>
          </cell>
          <cell r="R148">
            <v>0.1</v>
          </cell>
          <cell r="S148">
            <v>0.3</v>
          </cell>
          <cell r="T148" t="str">
            <v>-</v>
          </cell>
          <cell r="U148" t="str">
            <v>-</v>
          </cell>
          <cell r="V148">
            <v>0.1</v>
          </cell>
          <cell r="W148">
            <v>0</v>
          </cell>
          <cell r="X148">
            <v>458</v>
          </cell>
          <cell r="Y148" t="str">
            <v>SI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10</v>
          </cell>
          <cell r="AG148">
            <v>10</v>
          </cell>
          <cell r="AH148">
            <v>2</v>
          </cell>
          <cell r="AI148">
            <v>3</v>
          </cell>
          <cell r="AJ148">
            <v>0</v>
          </cell>
          <cell r="AK148">
            <v>-12</v>
          </cell>
          <cell r="AL148">
            <v>-15</v>
          </cell>
          <cell r="AM148">
            <v>10</v>
          </cell>
          <cell r="AN148">
            <v>607.5</v>
          </cell>
          <cell r="AO148">
            <v>588.20000000000005</v>
          </cell>
          <cell r="AP148">
            <v>530.1</v>
          </cell>
          <cell r="AQ148">
            <v>440.5</v>
          </cell>
          <cell r="AR148">
            <v>-89.600000000000023</v>
          </cell>
          <cell r="AS148">
            <v>440.5</v>
          </cell>
          <cell r="AT148">
            <v>450</v>
          </cell>
        </row>
        <row r="149">
          <cell r="B149">
            <v>41010</v>
          </cell>
          <cell r="C149" t="str">
            <v>Rehabilitación</v>
          </cell>
          <cell r="D149" t="str">
            <v>Santiago</v>
          </cell>
          <cell r="E149" t="str">
            <v>Presencial</v>
          </cell>
          <cell r="F149" t="str">
            <v>UNAB19850</v>
          </cell>
          <cell r="G149" t="str">
            <v>CAS</v>
          </cell>
          <cell r="H149" t="str">
            <v>Terapia Ocupacional</v>
          </cell>
          <cell r="I149" t="e">
            <v>#N/A</v>
          </cell>
          <cell r="J149" t="str">
            <v>NO APLICA</v>
          </cell>
          <cell r="K149">
            <v>550</v>
          </cell>
          <cell r="L149" t="str">
            <v>Mantener</v>
          </cell>
          <cell r="M149">
            <v>550</v>
          </cell>
          <cell r="N149">
            <v>1</v>
          </cell>
          <cell r="O149" t="str">
            <v>MANTENER</v>
          </cell>
          <cell r="P149">
            <v>0.2</v>
          </cell>
          <cell r="Q149">
            <v>0.3</v>
          </cell>
          <cell r="R149">
            <v>0.2</v>
          </cell>
          <cell r="S149">
            <v>0.2</v>
          </cell>
          <cell r="T149" t="str">
            <v>-</v>
          </cell>
          <cell r="U149">
            <v>0.1</v>
          </cell>
          <cell r="V149">
            <v>0.1</v>
          </cell>
          <cell r="W149">
            <v>0</v>
          </cell>
          <cell r="X149">
            <v>458</v>
          </cell>
          <cell r="Y149" t="str">
            <v>SI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10</v>
          </cell>
          <cell r="AG149">
            <v>5</v>
          </cell>
          <cell r="AH149">
            <v>2</v>
          </cell>
          <cell r="AI149">
            <v>3</v>
          </cell>
          <cell r="AJ149">
            <v>0</v>
          </cell>
          <cell r="AK149">
            <v>5</v>
          </cell>
          <cell r="AL149">
            <v>2</v>
          </cell>
          <cell r="AM149">
            <v>22</v>
          </cell>
          <cell r="AN149">
            <v>452.4</v>
          </cell>
          <cell r="AO149">
            <v>403.4</v>
          </cell>
          <cell r="AP149">
            <v>419.3</v>
          </cell>
          <cell r="AQ149">
            <v>454.7</v>
          </cell>
          <cell r="AR149">
            <v>35.399999999999977</v>
          </cell>
          <cell r="AS149">
            <v>454.7</v>
          </cell>
          <cell r="AT149">
            <v>450</v>
          </cell>
        </row>
        <row r="150">
          <cell r="B150">
            <v>41103</v>
          </cell>
          <cell r="C150" t="str">
            <v>Rehabilitación</v>
          </cell>
          <cell r="D150" t="str">
            <v xml:space="preserve">Concepción </v>
          </cell>
          <cell r="E150" t="str">
            <v>Presencial</v>
          </cell>
          <cell r="F150" t="str">
            <v>UNAB19850</v>
          </cell>
          <cell r="G150" t="str">
            <v>CON</v>
          </cell>
          <cell r="H150" t="str">
            <v>Terapia Ocupacional</v>
          </cell>
          <cell r="I150" t="e">
            <v>#N/A</v>
          </cell>
          <cell r="J150" t="str">
            <v>NO APLICA</v>
          </cell>
          <cell r="K150">
            <v>550</v>
          </cell>
          <cell r="L150" t="str">
            <v>Mantener</v>
          </cell>
          <cell r="M150">
            <v>550</v>
          </cell>
          <cell r="N150">
            <v>1</v>
          </cell>
          <cell r="O150" t="str">
            <v>MANTENER</v>
          </cell>
          <cell r="P150">
            <v>0.2</v>
          </cell>
          <cell r="Q150">
            <v>0.3</v>
          </cell>
          <cell r="R150">
            <v>0.2</v>
          </cell>
          <cell r="S150">
            <v>0.2</v>
          </cell>
          <cell r="T150" t="str">
            <v>-</v>
          </cell>
          <cell r="U150">
            <v>0.1</v>
          </cell>
          <cell r="V150">
            <v>0.1</v>
          </cell>
          <cell r="W150">
            <v>0</v>
          </cell>
          <cell r="X150">
            <v>458</v>
          </cell>
          <cell r="Y150" t="str">
            <v>SI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10</v>
          </cell>
          <cell r="AG150">
            <v>5</v>
          </cell>
          <cell r="AH150">
            <v>2</v>
          </cell>
          <cell r="AI150">
            <v>3</v>
          </cell>
          <cell r="AJ150">
            <v>0</v>
          </cell>
          <cell r="AK150">
            <v>15</v>
          </cell>
          <cell r="AL150">
            <v>12</v>
          </cell>
          <cell r="AM150">
            <v>32</v>
          </cell>
          <cell r="AN150">
            <v>506.4</v>
          </cell>
          <cell r="AO150">
            <v>431.7</v>
          </cell>
          <cell r="AP150">
            <v>451.6</v>
          </cell>
          <cell r="AQ150">
            <v>465</v>
          </cell>
          <cell r="AR150">
            <v>13.399999999999977</v>
          </cell>
          <cell r="AS150">
            <v>465</v>
          </cell>
          <cell r="AT150">
            <v>450</v>
          </cell>
        </row>
        <row r="151">
          <cell r="B151">
            <v>41067</v>
          </cell>
          <cell r="C151" t="str">
            <v>Rehabilitación</v>
          </cell>
          <cell r="D151" t="str">
            <v>Viña</v>
          </cell>
          <cell r="E151" t="str">
            <v>Presencial</v>
          </cell>
          <cell r="F151" t="str">
            <v>UNAB19850</v>
          </cell>
          <cell r="G151" t="str">
            <v>VIN</v>
          </cell>
          <cell r="H151" t="str">
            <v>Terapia Ocupacional</v>
          </cell>
          <cell r="I151" t="e">
            <v>#N/A</v>
          </cell>
          <cell r="J151" t="str">
            <v>NO APLICA</v>
          </cell>
          <cell r="K151">
            <v>550</v>
          </cell>
          <cell r="L151" t="str">
            <v>Mantener</v>
          </cell>
          <cell r="M151">
            <v>550</v>
          </cell>
          <cell r="N151">
            <v>1</v>
          </cell>
          <cell r="O151" t="str">
            <v>MANTENER</v>
          </cell>
          <cell r="P151">
            <v>0.2</v>
          </cell>
          <cell r="Q151">
            <v>0.3</v>
          </cell>
          <cell r="R151">
            <v>0.2</v>
          </cell>
          <cell r="S151">
            <v>0.2</v>
          </cell>
          <cell r="T151" t="str">
            <v>-</v>
          </cell>
          <cell r="U151">
            <v>0.1</v>
          </cell>
          <cell r="V151">
            <v>0.1</v>
          </cell>
          <cell r="W151">
            <v>0</v>
          </cell>
          <cell r="X151">
            <v>458</v>
          </cell>
          <cell r="Y151" t="str">
            <v>SI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10</v>
          </cell>
          <cell r="AG151">
            <v>5</v>
          </cell>
          <cell r="AH151">
            <v>2</v>
          </cell>
          <cell r="AI151">
            <v>3</v>
          </cell>
          <cell r="AJ151">
            <v>0</v>
          </cell>
          <cell r="AK151">
            <v>6</v>
          </cell>
          <cell r="AL151">
            <v>3</v>
          </cell>
          <cell r="AM151">
            <v>23</v>
          </cell>
          <cell r="AN151">
            <v>457.9</v>
          </cell>
          <cell r="AO151">
            <v>340.7</v>
          </cell>
          <cell r="AP151">
            <v>402.6</v>
          </cell>
          <cell r="AQ151">
            <v>469.2</v>
          </cell>
          <cell r="AR151">
            <v>66.599999999999966</v>
          </cell>
          <cell r="AS151">
            <v>469.2</v>
          </cell>
          <cell r="AT151">
            <v>450</v>
          </cell>
        </row>
        <row r="152">
          <cell r="B152">
            <v>41017</v>
          </cell>
          <cell r="C152" t="str">
            <v>Ciencias Sociales</v>
          </cell>
          <cell r="D152" t="str">
            <v>Santiago</v>
          </cell>
          <cell r="E152" t="str">
            <v>Presencial</v>
          </cell>
          <cell r="F152" t="str">
            <v>UNAB11280</v>
          </cell>
          <cell r="G152" t="str">
            <v>REP</v>
          </cell>
          <cell r="H152" t="str">
            <v>Trabajo Social</v>
          </cell>
          <cell r="I152" t="str">
            <v>A3 - Escuela de trabajo social y sociología</v>
          </cell>
          <cell r="J152" t="str">
            <v>NO APLICA</v>
          </cell>
          <cell r="K152">
            <v>550</v>
          </cell>
          <cell r="L152" t="str">
            <v>Mantener</v>
          </cell>
          <cell r="M152">
            <v>550</v>
          </cell>
          <cell r="N152">
            <v>1</v>
          </cell>
          <cell r="O152" t="str">
            <v>MANTENER</v>
          </cell>
          <cell r="P152">
            <v>0.3</v>
          </cell>
          <cell r="Q152">
            <v>0.2</v>
          </cell>
          <cell r="R152">
            <v>0.3</v>
          </cell>
          <cell r="S152">
            <v>0.1</v>
          </cell>
          <cell r="T152" t="str">
            <v>-</v>
          </cell>
          <cell r="U152">
            <v>0.1</v>
          </cell>
          <cell r="V152">
            <v>0.1</v>
          </cell>
          <cell r="W152">
            <v>0</v>
          </cell>
          <cell r="X152">
            <v>458</v>
          </cell>
          <cell r="Y152" t="str">
            <v>SI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2</v>
          </cell>
          <cell r="AI152">
            <v>3</v>
          </cell>
          <cell r="AJ152">
            <v>0</v>
          </cell>
          <cell r="AK152">
            <v>8</v>
          </cell>
          <cell r="AL152">
            <v>5</v>
          </cell>
          <cell r="AM152">
            <v>10</v>
          </cell>
          <cell r="AN152">
            <v>463</v>
          </cell>
          <cell r="AO152">
            <v>399.5</v>
          </cell>
          <cell r="AP152">
            <v>460</v>
          </cell>
          <cell r="AQ152">
            <v>503.2</v>
          </cell>
          <cell r="AR152">
            <v>43.199999999999989</v>
          </cell>
          <cell r="AS152">
            <v>503.2</v>
          </cell>
          <cell r="AT152">
            <v>450</v>
          </cell>
        </row>
        <row r="153">
          <cell r="B153">
            <v>41070</v>
          </cell>
          <cell r="C153" t="str">
            <v>Ciencias Sociales</v>
          </cell>
          <cell r="D153" t="str">
            <v>Viña</v>
          </cell>
          <cell r="E153" t="str">
            <v>Presencial</v>
          </cell>
          <cell r="F153" t="str">
            <v>UNAB11280</v>
          </cell>
          <cell r="G153" t="str">
            <v>VIN</v>
          </cell>
          <cell r="H153" t="str">
            <v>Trabajo Social</v>
          </cell>
          <cell r="I153" t="str">
            <v>A3 - Escuela de trabajo social y sociología</v>
          </cell>
          <cell r="J153" t="str">
            <v>NO APLICA</v>
          </cell>
          <cell r="K153">
            <v>550</v>
          </cell>
          <cell r="L153" t="str">
            <v>Mantener</v>
          </cell>
          <cell r="M153">
            <v>550</v>
          </cell>
          <cell r="N153">
            <v>1</v>
          </cell>
          <cell r="O153" t="str">
            <v>MANTENER</v>
          </cell>
          <cell r="P153">
            <v>0.3</v>
          </cell>
          <cell r="Q153">
            <v>0.2</v>
          </cell>
          <cell r="R153">
            <v>0.3</v>
          </cell>
          <cell r="S153">
            <v>0.1</v>
          </cell>
          <cell r="T153" t="str">
            <v>-</v>
          </cell>
          <cell r="U153">
            <v>0.1</v>
          </cell>
          <cell r="V153">
            <v>0.1</v>
          </cell>
          <cell r="W153">
            <v>0</v>
          </cell>
          <cell r="X153">
            <v>458</v>
          </cell>
          <cell r="Y153" t="str">
            <v>SI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2</v>
          </cell>
          <cell r="AI153">
            <v>3</v>
          </cell>
          <cell r="AJ153">
            <v>0</v>
          </cell>
          <cell r="AK153">
            <v>0</v>
          </cell>
          <cell r="AL153">
            <v>-3</v>
          </cell>
          <cell r="AM153">
            <v>2</v>
          </cell>
          <cell r="AN153">
            <v>429.25</v>
          </cell>
          <cell r="AO153">
            <v>420.65</v>
          </cell>
          <cell r="AP153">
            <v>450.8</v>
          </cell>
          <cell r="AQ153">
            <v>558.6</v>
          </cell>
          <cell r="AR153">
            <v>107.80000000000001</v>
          </cell>
          <cell r="AS153">
            <v>558.6</v>
          </cell>
          <cell r="AT153">
            <v>450</v>
          </cell>
        </row>
        <row r="154">
          <cell r="AR154" t="str">
            <v>-</v>
          </cell>
        </row>
        <row r="155">
          <cell r="P155">
            <v>922</v>
          </cell>
          <cell r="Q155">
            <v>982</v>
          </cell>
          <cell r="R155">
            <v>852</v>
          </cell>
          <cell r="S155">
            <v>955</v>
          </cell>
          <cell r="T155">
            <v>0</v>
          </cell>
          <cell r="U155">
            <v>0</v>
          </cell>
          <cell r="V155">
            <v>692</v>
          </cell>
          <cell r="AR155" t="str">
            <v>-</v>
          </cell>
        </row>
        <row r="156">
          <cell r="P156">
            <v>92.2</v>
          </cell>
          <cell r="Q156">
            <v>294.59999999999997</v>
          </cell>
          <cell r="R156">
            <v>127.8</v>
          </cell>
          <cell r="S156">
            <v>191</v>
          </cell>
          <cell r="V156">
            <v>173</v>
          </cell>
          <cell r="W156">
            <v>0</v>
          </cell>
          <cell r="X156">
            <v>878.6</v>
          </cell>
          <cell r="Y156" t="e">
            <v>#VALUE!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A4D29-5E93-4D5B-8BB2-A2AFB4C716ED}">
  <dimension ref="A1:V154"/>
  <sheetViews>
    <sheetView tabSelected="1" topLeftCell="H1" zoomScaleNormal="100" workbookViewId="0">
      <selection activeCell="R156" sqref="R156"/>
    </sheetView>
  </sheetViews>
  <sheetFormatPr baseColWidth="10" defaultColWidth="11.44140625" defaultRowHeight="14.4" x14ac:dyDescent="0.3"/>
  <cols>
    <col min="1" max="1" width="17.21875" style="34" hidden="1" customWidth="1"/>
    <col min="2" max="2" width="8.109375" style="33" customWidth="1"/>
    <col min="3" max="3" width="10.21875" style="36" bestFit="1" customWidth="1"/>
    <col min="4" max="4" width="28.5546875" style="36" bestFit="1" customWidth="1"/>
    <col min="5" max="5" width="11.109375" style="36" customWidth="1"/>
    <col min="6" max="6" width="11.109375" style="36" bestFit="1" customWidth="1"/>
    <col min="7" max="7" width="14" style="37" bestFit="1" customWidth="1"/>
    <col min="8" max="8" width="11.109375" style="33" bestFit="1" customWidth="1"/>
    <col min="9" max="9" width="11.77734375" style="33" bestFit="1" customWidth="1"/>
    <col min="10" max="10" width="37.44140625" style="38" bestFit="1" customWidth="1"/>
    <col min="11" max="11" width="8.5546875" style="33" bestFit="1" customWidth="1"/>
    <col min="12" max="12" width="8.109375" style="33" bestFit="1" customWidth="1"/>
    <col min="13" max="13" width="8.21875" style="33" bestFit="1" customWidth="1"/>
    <col min="14" max="15" width="9.21875" style="33" bestFit="1" customWidth="1"/>
    <col min="16" max="16" width="7.5546875" style="33" bestFit="1" customWidth="1"/>
    <col min="17" max="17" width="8.5546875" style="33" bestFit="1" customWidth="1"/>
    <col min="18" max="18" width="9.44140625" style="33" bestFit="1" customWidth="1"/>
    <col min="19" max="19" width="9.5546875" style="33" bestFit="1" customWidth="1"/>
    <col min="20" max="20" width="12.77734375" style="39" customWidth="1"/>
    <col min="21" max="21" width="10.109375" style="39" bestFit="1" customWidth="1"/>
    <col min="22" max="22" width="11.44140625" hidden="1" customWidth="1"/>
  </cols>
  <sheetData>
    <row r="1" spans="1:22" ht="22.9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0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4" t="s">
        <v>17</v>
      </c>
      <c r="T1" s="4" t="s">
        <v>18</v>
      </c>
      <c r="U1" s="5" t="s">
        <v>19</v>
      </c>
    </row>
    <row r="2" spans="1:22" x14ac:dyDescent="0.3">
      <c r="A2" s="6" t="s">
        <v>20</v>
      </c>
      <c r="B2" s="7">
        <v>41107</v>
      </c>
      <c r="C2" s="8" t="s">
        <v>21</v>
      </c>
      <c r="D2" s="8" t="s">
        <v>22</v>
      </c>
      <c r="E2" s="8" t="s">
        <v>23</v>
      </c>
      <c r="F2" s="8" t="str">
        <f t="shared" ref="F2:F15" si="0">MID(G2,1,9)</f>
        <v>UNAB15700</v>
      </c>
      <c r="G2" s="9" t="s">
        <v>24</v>
      </c>
      <c r="H2" s="7" t="s">
        <v>25</v>
      </c>
      <c r="I2" s="7" t="s">
        <v>26</v>
      </c>
      <c r="J2" s="10" t="s">
        <v>27</v>
      </c>
      <c r="K2" s="11">
        <v>0.2</v>
      </c>
      <c r="L2" s="11">
        <v>0.3</v>
      </c>
      <c r="M2" s="11">
        <v>0.1</v>
      </c>
      <c r="N2" s="11">
        <v>0.3</v>
      </c>
      <c r="O2" s="11" t="s">
        <v>28</v>
      </c>
      <c r="P2" s="11">
        <v>0.1</v>
      </c>
      <c r="Q2" s="11">
        <v>0.1</v>
      </c>
      <c r="R2" s="7">
        <v>0</v>
      </c>
      <c r="S2" s="7">
        <v>458</v>
      </c>
      <c r="T2" s="12">
        <v>450</v>
      </c>
      <c r="U2" s="12">
        <f>VLOOKUP(B2,'[1]Carreras 2027'!$B:$AT,45,FALSE)</f>
        <v>450</v>
      </c>
      <c r="V2" t="s">
        <v>29</v>
      </c>
    </row>
    <row r="3" spans="1:22" x14ac:dyDescent="0.3">
      <c r="A3" s="6" t="s">
        <v>30</v>
      </c>
      <c r="B3" s="7">
        <v>41023</v>
      </c>
      <c r="C3" s="8" t="s">
        <v>31</v>
      </c>
      <c r="D3" s="8" t="s">
        <v>22</v>
      </c>
      <c r="E3" s="8" t="s">
        <v>23</v>
      </c>
      <c r="F3" s="8" t="str">
        <f t="shared" si="0"/>
        <v>UNAB15700</v>
      </c>
      <c r="G3" s="9" t="s">
        <v>32</v>
      </c>
      <c r="H3" s="7" t="s">
        <v>33</v>
      </c>
      <c r="I3" s="7" t="s">
        <v>26</v>
      </c>
      <c r="J3" s="10" t="s">
        <v>27</v>
      </c>
      <c r="K3" s="11">
        <v>0.2</v>
      </c>
      <c r="L3" s="11">
        <v>0.3</v>
      </c>
      <c r="M3" s="11">
        <v>0.1</v>
      </c>
      <c r="N3" s="11">
        <v>0.3</v>
      </c>
      <c r="O3" s="11" t="s">
        <v>28</v>
      </c>
      <c r="P3" s="11">
        <v>0.1</v>
      </c>
      <c r="Q3" s="11">
        <v>0.1</v>
      </c>
      <c r="R3" s="7">
        <v>0</v>
      </c>
      <c r="S3" s="7">
        <v>458</v>
      </c>
      <c r="T3" s="12">
        <v>450</v>
      </c>
      <c r="U3" s="12">
        <f>VLOOKUP(B3,'[1]Carreras 2027'!$B:$AT,45,FALSE)</f>
        <v>450</v>
      </c>
      <c r="V3" t="s">
        <v>34</v>
      </c>
    </row>
    <row r="4" spans="1:22" x14ac:dyDescent="0.3">
      <c r="A4" s="13" t="s">
        <v>35</v>
      </c>
      <c r="B4" s="7">
        <v>41072</v>
      </c>
      <c r="C4" s="8" t="s">
        <v>36</v>
      </c>
      <c r="D4" s="8" t="s">
        <v>22</v>
      </c>
      <c r="E4" s="8" t="s">
        <v>23</v>
      </c>
      <c r="F4" s="8" t="str">
        <f t="shared" si="0"/>
        <v>UNAB15700</v>
      </c>
      <c r="G4" s="9" t="s">
        <v>37</v>
      </c>
      <c r="H4" s="7" t="s">
        <v>38</v>
      </c>
      <c r="I4" s="7" t="s">
        <v>26</v>
      </c>
      <c r="J4" s="10" t="s">
        <v>27</v>
      </c>
      <c r="K4" s="11">
        <v>0.2</v>
      </c>
      <c r="L4" s="11">
        <v>0.3</v>
      </c>
      <c r="M4" s="11">
        <v>0.1</v>
      </c>
      <c r="N4" s="11">
        <v>0.3</v>
      </c>
      <c r="O4" s="11" t="s">
        <v>28</v>
      </c>
      <c r="P4" s="11">
        <v>0.1</v>
      </c>
      <c r="Q4" s="11">
        <v>0.1</v>
      </c>
      <c r="R4" s="7">
        <v>0</v>
      </c>
      <c r="S4" s="7">
        <v>458</v>
      </c>
      <c r="T4" s="12">
        <v>450</v>
      </c>
      <c r="U4" s="12">
        <f>VLOOKUP(B4,'[1]Carreras 2027'!$B:$AT,45,FALSE)</f>
        <v>450</v>
      </c>
      <c r="V4" t="s">
        <v>39</v>
      </c>
    </row>
    <row r="5" spans="1:22" x14ac:dyDescent="0.3">
      <c r="A5" s="6" t="s">
        <v>40</v>
      </c>
      <c r="B5" s="7">
        <v>41000</v>
      </c>
      <c r="C5" s="8" t="s">
        <v>31</v>
      </c>
      <c r="D5" s="8" t="s">
        <v>41</v>
      </c>
      <c r="E5" s="8" t="s">
        <v>23</v>
      </c>
      <c r="F5" s="8" t="str">
        <f t="shared" si="0"/>
        <v>UNAB11100</v>
      </c>
      <c r="G5" s="9" t="s">
        <v>42</v>
      </c>
      <c r="H5" s="7" t="s">
        <v>43</v>
      </c>
      <c r="I5" s="7" t="s">
        <v>26</v>
      </c>
      <c r="J5" s="10" t="s">
        <v>44</v>
      </c>
      <c r="K5" s="11">
        <v>0.2</v>
      </c>
      <c r="L5" s="11">
        <v>0.3</v>
      </c>
      <c r="M5" s="11">
        <v>0.1</v>
      </c>
      <c r="N5" s="11">
        <v>0.3</v>
      </c>
      <c r="O5" s="11" t="s">
        <v>28</v>
      </c>
      <c r="P5" s="11">
        <v>0.1</v>
      </c>
      <c r="Q5" s="11">
        <v>0.1</v>
      </c>
      <c r="R5" s="7">
        <v>0</v>
      </c>
      <c r="S5" s="7">
        <v>458</v>
      </c>
      <c r="T5" s="12">
        <v>450</v>
      </c>
      <c r="U5" s="12">
        <f>VLOOKUP(B5,'[1]Carreras 2027'!$B:$AT,45,FALSE)</f>
        <v>450</v>
      </c>
      <c r="V5" t="s">
        <v>45</v>
      </c>
    </row>
    <row r="6" spans="1:22" x14ac:dyDescent="0.3">
      <c r="A6" s="6" t="s">
        <v>46</v>
      </c>
      <c r="B6" s="7">
        <v>41209</v>
      </c>
      <c r="C6" s="8" t="s">
        <v>21</v>
      </c>
      <c r="D6" s="8" t="s">
        <v>41</v>
      </c>
      <c r="E6" s="8" t="s">
        <v>23</v>
      </c>
      <c r="F6" s="8" t="str">
        <f t="shared" si="0"/>
        <v>UNAB11100</v>
      </c>
      <c r="G6" s="9" t="s">
        <v>47</v>
      </c>
      <c r="H6" s="7" t="s">
        <v>25</v>
      </c>
      <c r="I6" s="7" t="s">
        <v>26</v>
      </c>
      <c r="J6" s="10" t="s">
        <v>44</v>
      </c>
      <c r="K6" s="11">
        <v>0.2</v>
      </c>
      <c r="L6" s="11">
        <v>0.3</v>
      </c>
      <c r="M6" s="11">
        <v>0.1</v>
      </c>
      <c r="N6" s="11">
        <v>0.3</v>
      </c>
      <c r="O6" s="11" t="s">
        <v>28</v>
      </c>
      <c r="P6" s="11">
        <v>0.1</v>
      </c>
      <c r="Q6" s="11">
        <v>0.1</v>
      </c>
      <c r="R6" s="7">
        <v>0</v>
      </c>
      <c r="S6" s="7">
        <v>458</v>
      </c>
      <c r="T6" s="12">
        <v>450</v>
      </c>
      <c r="U6" s="12">
        <f>VLOOKUP(B6,'[1]Carreras 2027'!$B:$AT,45,FALSE)</f>
        <v>450</v>
      </c>
      <c r="V6" t="s">
        <v>48</v>
      </c>
    </row>
    <row r="7" spans="1:22" x14ac:dyDescent="0.3">
      <c r="A7" s="6" t="s">
        <v>49</v>
      </c>
      <c r="B7" s="7">
        <v>41061</v>
      </c>
      <c r="C7" s="8" t="s">
        <v>36</v>
      </c>
      <c r="D7" s="8" t="s">
        <v>41</v>
      </c>
      <c r="E7" s="8" t="s">
        <v>23</v>
      </c>
      <c r="F7" s="8" t="str">
        <f t="shared" si="0"/>
        <v>UNAB11100</v>
      </c>
      <c r="G7" s="9" t="s">
        <v>50</v>
      </c>
      <c r="H7" s="7" t="s">
        <v>38</v>
      </c>
      <c r="I7" s="7" t="s">
        <v>26</v>
      </c>
      <c r="J7" s="10" t="s">
        <v>44</v>
      </c>
      <c r="K7" s="11">
        <v>0.2</v>
      </c>
      <c r="L7" s="11">
        <v>0.3</v>
      </c>
      <c r="M7" s="11">
        <v>0.1</v>
      </c>
      <c r="N7" s="11">
        <v>0.3</v>
      </c>
      <c r="O7" s="11" t="s">
        <v>28</v>
      </c>
      <c r="P7" s="11">
        <v>0.1</v>
      </c>
      <c r="Q7" s="11">
        <v>0.1</v>
      </c>
      <c r="R7" s="7">
        <v>0</v>
      </c>
      <c r="S7" s="7">
        <v>458</v>
      </c>
      <c r="T7" s="12">
        <v>450</v>
      </c>
      <c r="U7" s="12">
        <f>VLOOKUP(B7,'[1]Carreras 2027'!$B:$AT,45,FALSE)</f>
        <v>490</v>
      </c>
      <c r="V7" t="s">
        <v>51</v>
      </c>
    </row>
    <row r="8" spans="1:22" x14ac:dyDescent="0.3">
      <c r="A8" s="6" t="s">
        <v>52</v>
      </c>
      <c r="B8" s="7">
        <v>41003</v>
      </c>
      <c r="C8" s="8" t="s">
        <v>31</v>
      </c>
      <c r="D8" s="8" t="s">
        <v>41</v>
      </c>
      <c r="E8" s="8" t="s">
        <v>23</v>
      </c>
      <c r="F8" s="8" t="str">
        <f t="shared" si="0"/>
        <v>UNAB12345</v>
      </c>
      <c r="G8" s="9" t="s">
        <v>53</v>
      </c>
      <c r="H8" s="7" t="s">
        <v>43</v>
      </c>
      <c r="I8" s="7" t="s">
        <v>26</v>
      </c>
      <c r="J8" s="10" t="s">
        <v>54</v>
      </c>
      <c r="K8" s="11">
        <v>0.2</v>
      </c>
      <c r="L8" s="11">
        <v>0.1</v>
      </c>
      <c r="M8" s="11">
        <v>0.1</v>
      </c>
      <c r="N8" s="11">
        <v>0.2</v>
      </c>
      <c r="O8" s="11" t="s">
        <v>28</v>
      </c>
      <c r="P8" s="11">
        <v>0.4</v>
      </c>
      <c r="Q8" s="11">
        <v>0.4</v>
      </c>
      <c r="R8" s="7">
        <v>0</v>
      </c>
      <c r="S8" s="7">
        <v>458</v>
      </c>
      <c r="T8" s="12">
        <v>450</v>
      </c>
      <c r="U8" s="12">
        <f>VLOOKUP(B8,'[1]Carreras 2027'!$B:$AT,45,FALSE)</f>
        <v>450</v>
      </c>
      <c r="V8" t="s">
        <v>55</v>
      </c>
    </row>
    <row r="9" spans="1:22" x14ac:dyDescent="0.3">
      <c r="A9" s="6" t="s">
        <v>56</v>
      </c>
      <c r="B9" s="7">
        <v>41215</v>
      </c>
      <c r="C9" s="8" t="s">
        <v>31</v>
      </c>
      <c r="D9" s="8" t="s">
        <v>22</v>
      </c>
      <c r="E9" s="8" t="s">
        <v>23</v>
      </c>
      <c r="F9" s="8" t="str">
        <f t="shared" si="0"/>
        <v>UNAB18050</v>
      </c>
      <c r="G9" s="9" t="s">
        <v>57</v>
      </c>
      <c r="H9" s="7" t="s">
        <v>58</v>
      </c>
      <c r="I9" s="7" t="s">
        <v>26</v>
      </c>
      <c r="J9" s="14" t="s">
        <v>59</v>
      </c>
      <c r="K9" s="11">
        <v>0.2</v>
      </c>
      <c r="L9" s="11">
        <v>0.3</v>
      </c>
      <c r="M9" s="11">
        <v>0.1</v>
      </c>
      <c r="N9" s="11">
        <v>0.3</v>
      </c>
      <c r="O9" s="11" t="s">
        <v>28</v>
      </c>
      <c r="P9" s="11" t="s">
        <v>28</v>
      </c>
      <c r="Q9" s="11">
        <v>0.1</v>
      </c>
      <c r="R9" s="7">
        <v>0</v>
      </c>
      <c r="S9" s="7">
        <v>458</v>
      </c>
      <c r="T9" s="12">
        <v>450</v>
      </c>
      <c r="U9" s="12">
        <f>VLOOKUP(B9,'[1]Carreras 2027'!$B:$AT,45,FALSE)</f>
        <v>450</v>
      </c>
      <c r="V9" t="s">
        <v>60</v>
      </c>
    </row>
    <row r="10" spans="1:22" x14ac:dyDescent="0.3">
      <c r="A10" s="15" t="s">
        <v>61</v>
      </c>
      <c r="B10" s="7">
        <v>41214</v>
      </c>
      <c r="C10" s="8" t="s">
        <v>21</v>
      </c>
      <c r="D10" s="8" t="s">
        <v>22</v>
      </c>
      <c r="E10" s="8" t="s">
        <v>23</v>
      </c>
      <c r="F10" s="8" t="str">
        <f t="shared" si="0"/>
        <v>UNAB18050</v>
      </c>
      <c r="G10" s="9" t="s">
        <v>62</v>
      </c>
      <c r="H10" s="7" t="s">
        <v>25</v>
      </c>
      <c r="I10" s="7" t="s">
        <v>26</v>
      </c>
      <c r="J10" s="10" t="s">
        <v>59</v>
      </c>
      <c r="K10" s="11">
        <v>0.2</v>
      </c>
      <c r="L10" s="11">
        <v>0.3</v>
      </c>
      <c r="M10" s="11">
        <v>0.1</v>
      </c>
      <c r="N10" s="11">
        <v>0.3</v>
      </c>
      <c r="O10" s="11" t="s">
        <v>28</v>
      </c>
      <c r="P10" s="11" t="s">
        <v>28</v>
      </c>
      <c r="Q10" s="11">
        <v>0.1</v>
      </c>
      <c r="R10" s="7">
        <v>0</v>
      </c>
      <c r="S10" s="7">
        <v>458</v>
      </c>
      <c r="T10" s="12">
        <v>450</v>
      </c>
      <c r="U10" s="12">
        <f>VLOOKUP(B10,'[1]Carreras 2027'!$B:$AT,45,FALSE)</f>
        <v>450</v>
      </c>
      <c r="V10" t="s">
        <v>63</v>
      </c>
    </row>
    <row r="11" spans="1:22" x14ac:dyDescent="0.3">
      <c r="A11" s="6" t="s">
        <v>64</v>
      </c>
      <c r="B11" s="7">
        <v>41212</v>
      </c>
      <c r="C11" s="8" t="s">
        <v>31</v>
      </c>
      <c r="D11" s="8" t="s">
        <v>22</v>
      </c>
      <c r="E11" s="8" t="s">
        <v>23</v>
      </c>
      <c r="F11" s="8" t="str">
        <f t="shared" si="0"/>
        <v>UNAB18050</v>
      </c>
      <c r="G11" s="9" t="s">
        <v>65</v>
      </c>
      <c r="H11" s="7" t="s">
        <v>33</v>
      </c>
      <c r="I11" s="7" t="s">
        <v>26</v>
      </c>
      <c r="J11" s="10" t="s">
        <v>59</v>
      </c>
      <c r="K11" s="11">
        <v>0.2</v>
      </c>
      <c r="L11" s="11">
        <v>0.3</v>
      </c>
      <c r="M11" s="11">
        <v>0.1</v>
      </c>
      <c r="N11" s="11">
        <v>0.3</v>
      </c>
      <c r="O11" s="11" t="s">
        <v>28</v>
      </c>
      <c r="P11" s="11" t="s">
        <v>28</v>
      </c>
      <c r="Q11" s="11">
        <v>0.1</v>
      </c>
      <c r="R11" s="7">
        <v>0</v>
      </c>
      <c r="S11" s="7">
        <v>458</v>
      </c>
      <c r="T11" s="16">
        <v>602</v>
      </c>
      <c r="U11" s="12">
        <f>VLOOKUP(B11,'[1]Carreras 2027'!$B:$AT,45,FALSE)</f>
        <v>450</v>
      </c>
      <c r="V11" t="s">
        <v>60</v>
      </c>
    </row>
    <row r="12" spans="1:22" x14ac:dyDescent="0.3">
      <c r="A12" s="6" t="s">
        <v>66</v>
      </c>
      <c r="B12" s="7">
        <v>41213</v>
      </c>
      <c r="C12" s="8" t="s">
        <v>36</v>
      </c>
      <c r="D12" s="8" t="s">
        <v>22</v>
      </c>
      <c r="E12" s="8" t="s">
        <v>23</v>
      </c>
      <c r="F12" s="8" t="str">
        <f t="shared" si="0"/>
        <v>UNAB18050</v>
      </c>
      <c r="G12" s="9" t="s">
        <v>67</v>
      </c>
      <c r="H12" s="7" t="s">
        <v>38</v>
      </c>
      <c r="I12" s="7" t="s">
        <v>26</v>
      </c>
      <c r="J12" s="10" t="s">
        <v>59</v>
      </c>
      <c r="K12" s="11">
        <v>0.2</v>
      </c>
      <c r="L12" s="11">
        <v>0.3</v>
      </c>
      <c r="M12" s="11">
        <v>0.1</v>
      </c>
      <c r="N12" s="11">
        <v>0.3</v>
      </c>
      <c r="O12" s="11" t="s">
        <v>28</v>
      </c>
      <c r="P12" s="11" t="s">
        <v>28</v>
      </c>
      <c r="Q12" s="11">
        <v>0.1</v>
      </c>
      <c r="R12" s="7">
        <v>0</v>
      </c>
      <c r="S12" s="7">
        <v>458</v>
      </c>
      <c r="T12" s="16">
        <v>708</v>
      </c>
      <c r="U12" s="12">
        <f>VLOOKUP(B12,'[1]Carreras 2027'!$B:$AT,45,FALSE)</f>
        <v>450</v>
      </c>
      <c r="V12" t="s">
        <v>68</v>
      </c>
    </row>
    <row r="13" spans="1:22" x14ac:dyDescent="0.3">
      <c r="A13" s="6" t="s">
        <v>69</v>
      </c>
      <c r="B13" s="7">
        <v>41007</v>
      </c>
      <c r="C13" s="8" t="s">
        <v>31</v>
      </c>
      <c r="D13" s="8" t="s">
        <v>22</v>
      </c>
      <c r="E13" s="8" t="s">
        <v>23</v>
      </c>
      <c r="F13" s="8" t="str">
        <f t="shared" si="0"/>
        <v>UNAB15686</v>
      </c>
      <c r="G13" s="9" t="s">
        <v>70</v>
      </c>
      <c r="H13" s="7" t="s">
        <v>33</v>
      </c>
      <c r="I13" s="7" t="s">
        <v>26</v>
      </c>
      <c r="J13" s="6" t="s">
        <v>71</v>
      </c>
      <c r="K13" s="11">
        <v>0.2</v>
      </c>
      <c r="L13" s="11">
        <v>0.3</v>
      </c>
      <c r="M13" s="11">
        <v>0.1</v>
      </c>
      <c r="N13" s="11">
        <v>0.2</v>
      </c>
      <c r="O13" s="11" t="s">
        <v>28</v>
      </c>
      <c r="P13" s="11" t="s">
        <v>28</v>
      </c>
      <c r="Q13" s="11">
        <v>0.2</v>
      </c>
      <c r="R13" s="7">
        <v>0</v>
      </c>
      <c r="S13" s="7">
        <v>458</v>
      </c>
      <c r="T13" s="12">
        <v>450</v>
      </c>
      <c r="U13" s="12">
        <f>VLOOKUP(B13,'[1]Carreras 2027'!$B:$AT,45,FALSE)</f>
        <v>490</v>
      </c>
      <c r="V13" t="s">
        <v>72</v>
      </c>
    </row>
    <row r="14" spans="1:22" x14ac:dyDescent="0.3">
      <c r="A14" s="6" t="s">
        <v>73</v>
      </c>
      <c r="B14" s="7">
        <v>41022</v>
      </c>
      <c r="C14" s="8" t="s">
        <v>31</v>
      </c>
      <c r="D14" s="8" t="s">
        <v>22</v>
      </c>
      <c r="E14" s="8" t="s">
        <v>23</v>
      </c>
      <c r="F14" s="8" t="str">
        <f t="shared" si="0"/>
        <v>UNAB19100</v>
      </c>
      <c r="G14" s="9" t="s">
        <v>74</v>
      </c>
      <c r="H14" s="7" t="s">
        <v>33</v>
      </c>
      <c r="I14" s="7" t="s">
        <v>26</v>
      </c>
      <c r="J14" s="10" t="s">
        <v>75</v>
      </c>
      <c r="K14" s="11">
        <v>0.2</v>
      </c>
      <c r="L14" s="11">
        <v>0.3</v>
      </c>
      <c r="M14" s="11">
        <v>0.1</v>
      </c>
      <c r="N14" s="11">
        <v>0.3</v>
      </c>
      <c r="O14" s="11" t="s">
        <v>28</v>
      </c>
      <c r="P14" s="11">
        <v>0.1</v>
      </c>
      <c r="Q14" s="11">
        <v>0.1</v>
      </c>
      <c r="R14" s="7">
        <v>0</v>
      </c>
      <c r="S14" s="7">
        <v>458</v>
      </c>
      <c r="T14" s="12">
        <v>450</v>
      </c>
      <c r="U14" s="12">
        <f>VLOOKUP(B14,'[1]Carreras 2027'!$B:$AT,45,FALSE)</f>
        <v>480</v>
      </c>
      <c r="V14" t="s">
        <v>76</v>
      </c>
    </row>
    <row r="15" spans="1:22" x14ac:dyDescent="0.3">
      <c r="A15" s="6" t="s">
        <v>77</v>
      </c>
      <c r="B15" s="7">
        <v>41005</v>
      </c>
      <c r="C15" s="8" t="s">
        <v>31</v>
      </c>
      <c r="D15" s="8" t="s">
        <v>22</v>
      </c>
      <c r="E15" s="8" t="s">
        <v>23</v>
      </c>
      <c r="F15" s="8" t="str">
        <f t="shared" si="0"/>
        <v>UNAB19900</v>
      </c>
      <c r="G15" s="9" t="s">
        <v>78</v>
      </c>
      <c r="H15" s="7" t="s">
        <v>33</v>
      </c>
      <c r="I15" s="7" t="s">
        <v>26</v>
      </c>
      <c r="J15" s="10" t="s">
        <v>79</v>
      </c>
      <c r="K15" s="11">
        <v>0.2</v>
      </c>
      <c r="L15" s="11">
        <v>0.3</v>
      </c>
      <c r="M15" s="11">
        <v>0.1</v>
      </c>
      <c r="N15" s="11">
        <v>0.2</v>
      </c>
      <c r="O15" s="11" t="s">
        <v>28</v>
      </c>
      <c r="P15" s="11" t="s">
        <v>28</v>
      </c>
      <c r="Q15" s="11">
        <v>0.2</v>
      </c>
      <c r="R15" s="7">
        <v>0</v>
      </c>
      <c r="S15" s="7">
        <v>458</v>
      </c>
      <c r="T15" s="16">
        <v>459</v>
      </c>
      <c r="U15" s="12">
        <f>VLOOKUP(B15,'[1]Carreras 2027'!$B:$AT,45,FALSE)</f>
        <v>500</v>
      </c>
      <c r="V15" t="s">
        <v>80</v>
      </c>
    </row>
    <row r="16" spans="1:22" x14ac:dyDescent="0.3">
      <c r="A16" s="17" t="s">
        <v>81</v>
      </c>
      <c r="B16" s="7">
        <v>41222</v>
      </c>
      <c r="C16" s="6" t="s">
        <v>31</v>
      </c>
      <c r="D16" s="6" t="s">
        <v>82</v>
      </c>
      <c r="E16" s="8" t="s">
        <v>23</v>
      </c>
      <c r="F16" s="8" t="s">
        <v>83</v>
      </c>
      <c r="G16" s="9" t="s">
        <v>84</v>
      </c>
      <c r="H16" s="7" t="s">
        <v>58</v>
      </c>
      <c r="I16" s="7" t="s">
        <v>26</v>
      </c>
      <c r="J16" s="14" t="s">
        <v>85</v>
      </c>
      <c r="K16" s="11">
        <v>0.3</v>
      </c>
      <c r="L16" s="11">
        <v>0.1</v>
      </c>
      <c r="M16" s="11">
        <v>0.1</v>
      </c>
      <c r="N16" s="11">
        <v>0.35</v>
      </c>
      <c r="O16" s="11">
        <v>0.5</v>
      </c>
      <c r="P16" s="11">
        <v>0.1</v>
      </c>
      <c r="Q16" s="11"/>
      <c r="R16" s="7">
        <v>0</v>
      </c>
      <c r="S16" s="7">
        <v>458</v>
      </c>
      <c r="T16" s="12">
        <v>460</v>
      </c>
      <c r="U16" s="12">
        <f>VLOOKUP(B16,'[1]Carreras 2027'!$B:$AT,45,FALSE)</f>
        <v>500</v>
      </c>
      <c r="V16" t="s">
        <v>86</v>
      </c>
    </row>
    <row r="17" spans="1:22" x14ac:dyDescent="0.3">
      <c r="A17" s="6" t="s">
        <v>87</v>
      </c>
      <c r="B17" s="7">
        <v>41027</v>
      </c>
      <c r="C17" s="8" t="s">
        <v>31</v>
      </c>
      <c r="D17" s="8" t="s">
        <v>88</v>
      </c>
      <c r="E17" s="8" t="s">
        <v>23</v>
      </c>
      <c r="F17" s="8" t="str">
        <f t="shared" ref="F17:F24" si="1">MID(G17,1,9)</f>
        <v>UNAB11700</v>
      </c>
      <c r="G17" s="9" t="s">
        <v>89</v>
      </c>
      <c r="H17" s="7" t="s">
        <v>90</v>
      </c>
      <c r="I17" s="7" t="s">
        <v>26</v>
      </c>
      <c r="J17" s="10" t="s">
        <v>91</v>
      </c>
      <c r="K17" s="11">
        <v>0.1</v>
      </c>
      <c r="L17" s="11">
        <v>0.4</v>
      </c>
      <c r="M17" s="11">
        <v>0.1</v>
      </c>
      <c r="N17" s="11">
        <v>0.3</v>
      </c>
      <c r="O17" s="11" t="s">
        <v>28</v>
      </c>
      <c r="P17" s="11">
        <v>0.1</v>
      </c>
      <c r="Q17" s="11">
        <v>0.1</v>
      </c>
      <c r="R17" s="7">
        <v>0</v>
      </c>
      <c r="S17" s="7">
        <v>458</v>
      </c>
      <c r="T17" s="16">
        <v>480</v>
      </c>
      <c r="U17" s="12">
        <f>VLOOKUP(B17,'[1]Carreras 2027'!$B:$AT,45,FALSE)</f>
        <v>450</v>
      </c>
      <c r="V17" t="s">
        <v>92</v>
      </c>
    </row>
    <row r="18" spans="1:22" x14ac:dyDescent="0.3">
      <c r="A18" s="6" t="s">
        <v>93</v>
      </c>
      <c r="B18" s="7">
        <v>41075</v>
      </c>
      <c r="C18" s="8" t="s">
        <v>36</v>
      </c>
      <c r="D18" s="8" t="s">
        <v>88</v>
      </c>
      <c r="E18" s="8" t="s">
        <v>23</v>
      </c>
      <c r="F18" s="8" t="str">
        <f t="shared" si="1"/>
        <v>UNAB11700</v>
      </c>
      <c r="G18" s="9" t="s">
        <v>94</v>
      </c>
      <c r="H18" s="7" t="s">
        <v>38</v>
      </c>
      <c r="I18" s="7" t="s">
        <v>26</v>
      </c>
      <c r="J18" s="10" t="s">
        <v>91</v>
      </c>
      <c r="K18" s="11">
        <v>0.1</v>
      </c>
      <c r="L18" s="11">
        <v>0.4</v>
      </c>
      <c r="M18" s="11">
        <v>0.1</v>
      </c>
      <c r="N18" s="11">
        <v>0.3</v>
      </c>
      <c r="O18" s="11" t="s">
        <v>28</v>
      </c>
      <c r="P18" s="11">
        <v>0.1</v>
      </c>
      <c r="Q18" s="11">
        <v>0.1</v>
      </c>
      <c r="R18" s="7">
        <v>0</v>
      </c>
      <c r="S18" s="7">
        <v>458</v>
      </c>
      <c r="T18" s="12">
        <v>450</v>
      </c>
      <c r="U18" s="12">
        <f>VLOOKUP(B18,'[1]Carreras 2027'!$B:$AT,45,FALSE)</f>
        <v>450</v>
      </c>
      <c r="V18" t="s">
        <v>95</v>
      </c>
    </row>
    <row r="19" spans="1:22" x14ac:dyDescent="0.3">
      <c r="A19" s="13" t="s">
        <v>96</v>
      </c>
      <c r="B19" s="7">
        <v>41175</v>
      </c>
      <c r="C19" s="8" t="s">
        <v>31</v>
      </c>
      <c r="D19" s="8" t="s">
        <v>88</v>
      </c>
      <c r="E19" s="8" t="s">
        <v>97</v>
      </c>
      <c r="F19" s="8" t="str">
        <f t="shared" si="1"/>
        <v>UNAB21700</v>
      </c>
      <c r="G19" s="9" t="s">
        <v>98</v>
      </c>
      <c r="H19" s="7" t="s">
        <v>90</v>
      </c>
      <c r="I19" s="7" t="s">
        <v>99</v>
      </c>
      <c r="J19" s="10" t="s">
        <v>100</v>
      </c>
      <c r="K19" s="11">
        <v>0.1</v>
      </c>
      <c r="L19" s="11">
        <v>0.4</v>
      </c>
      <c r="M19" s="11">
        <v>0.1</v>
      </c>
      <c r="N19" s="11">
        <v>0.3</v>
      </c>
      <c r="O19" s="11" t="s">
        <v>28</v>
      </c>
      <c r="P19" s="11">
        <v>0.1</v>
      </c>
      <c r="Q19" s="11">
        <v>0.1</v>
      </c>
      <c r="R19" s="7">
        <v>0</v>
      </c>
      <c r="S19" s="7">
        <v>458</v>
      </c>
      <c r="T19" s="12">
        <v>450</v>
      </c>
      <c r="U19" s="12">
        <f>VLOOKUP(B19,'[1]Carreras 2027'!$B:$AT,45,FALSE)</f>
        <v>450</v>
      </c>
      <c r="V19" t="s">
        <v>101</v>
      </c>
    </row>
    <row r="20" spans="1:22" x14ac:dyDescent="0.3">
      <c r="A20" s="6" t="s">
        <v>102</v>
      </c>
      <c r="B20" s="7">
        <v>41021</v>
      </c>
      <c r="C20" s="8" t="s">
        <v>31</v>
      </c>
      <c r="D20" s="8" t="s">
        <v>103</v>
      </c>
      <c r="E20" s="8" t="s">
        <v>23</v>
      </c>
      <c r="F20" s="8" t="str">
        <f t="shared" si="1"/>
        <v>UNAB11200</v>
      </c>
      <c r="G20" s="9" t="s">
        <v>104</v>
      </c>
      <c r="H20" s="7" t="s">
        <v>105</v>
      </c>
      <c r="I20" s="7" t="s">
        <v>26</v>
      </c>
      <c r="J20" s="10" t="s">
        <v>103</v>
      </c>
      <c r="K20" s="11">
        <v>0.2</v>
      </c>
      <c r="L20" s="11">
        <v>0.3</v>
      </c>
      <c r="M20" s="11">
        <v>0.3</v>
      </c>
      <c r="N20" s="11">
        <v>0.1</v>
      </c>
      <c r="O20" s="11" t="s">
        <v>28</v>
      </c>
      <c r="P20" s="11">
        <v>0.1</v>
      </c>
      <c r="Q20" s="11" t="s">
        <v>28</v>
      </c>
      <c r="R20" s="7">
        <v>0</v>
      </c>
      <c r="S20" s="7">
        <v>458</v>
      </c>
      <c r="T20" s="12">
        <v>450</v>
      </c>
      <c r="U20" s="12">
        <f>VLOOKUP(B20,'[1]Carreras 2027'!$B:$AT,45,FALSE)</f>
        <v>450</v>
      </c>
      <c r="V20" t="s">
        <v>106</v>
      </c>
    </row>
    <row r="21" spans="1:22" x14ac:dyDescent="0.3">
      <c r="A21" s="6" t="s">
        <v>107</v>
      </c>
      <c r="B21" s="7">
        <v>41203</v>
      </c>
      <c r="C21" s="8" t="s">
        <v>31</v>
      </c>
      <c r="D21" s="8" t="s">
        <v>103</v>
      </c>
      <c r="E21" s="8" t="s">
        <v>23</v>
      </c>
      <c r="F21" s="8" t="str">
        <f t="shared" si="1"/>
        <v>UNAB11200</v>
      </c>
      <c r="G21" s="9" t="s">
        <v>108</v>
      </c>
      <c r="H21" s="7" t="s">
        <v>58</v>
      </c>
      <c r="I21" s="7" t="s">
        <v>26</v>
      </c>
      <c r="J21" s="14" t="s">
        <v>103</v>
      </c>
      <c r="K21" s="11">
        <v>0.2</v>
      </c>
      <c r="L21" s="11">
        <v>0.3</v>
      </c>
      <c r="M21" s="11">
        <v>0.3</v>
      </c>
      <c r="N21" s="11">
        <v>0.1</v>
      </c>
      <c r="O21" s="11" t="s">
        <v>28</v>
      </c>
      <c r="P21" s="11">
        <v>0.1</v>
      </c>
      <c r="Q21" s="11" t="s">
        <v>28</v>
      </c>
      <c r="R21" s="7">
        <v>0</v>
      </c>
      <c r="S21" s="7">
        <v>458</v>
      </c>
      <c r="T21" s="16">
        <v>455</v>
      </c>
      <c r="U21" s="12">
        <f>VLOOKUP(B21,'[1]Carreras 2027'!$B:$AT,45,FALSE)</f>
        <v>490</v>
      </c>
      <c r="V21" t="s">
        <v>106</v>
      </c>
    </row>
    <row r="22" spans="1:22" x14ac:dyDescent="0.3">
      <c r="A22" s="6" t="s">
        <v>109</v>
      </c>
      <c r="B22" s="7">
        <v>41106</v>
      </c>
      <c r="C22" s="8" t="s">
        <v>21</v>
      </c>
      <c r="D22" s="8" t="s">
        <v>103</v>
      </c>
      <c r="E22" s="8" t="s">
        <v>23</v>
      </c>
      <c r="F22" s="8" t="str">
        <f t="shared" si="1"/>
        <v>UNAB11200</v>
      </c>
      <c r="G22" s="9" t="s">
        <v>110</v>
      </c>
      <c r="H22" s="7" t="s">
        <v>25</v>
      </c>
      <c r="I22" s="7" t="s">
        <v>26</v>
      </c>
      <c r="J22" s="10" t="s">
        <v>103</v>
      </c>
      <c r="K22" s="11">
        <v>0.2</v>
      </c>
      <c r="L22" s="11">
        <v>0.3</v>
      </c>
      <c r="M22" s="11">
        <v>0.3</v>
      </c>
      <c r="N22" s="11">
        <v>0.1</v>
      </c>
      <c r="O22" s="11" t="s">
        <v>28</v>
      </c>
      <c r="P22" s="11">
        <v>0.1</v>
      </c>
      <c r="Q22" s="11" t="s">
        <v>28</v>
      </c>
      <c r="R22" s="7">
        <v>0</v>
      </c>
      <c r="S22" s="7">
        <v>458</v>
      </c>
      <c r="T22" s="12">
        <v>450</v>
      </c>
      <c r="U22" s="12">
        <f>VLOOKUP(B22,'[1]Carreras 2027'!$B:$AT,45,FALSE)</f>
        <v>450</v>
      </c>
      <c r="V22" t="s">
        <v>111</v>
      </c>
    </row>
    <row r="23" spans="1:22" x14ac:dyDescent="0.3">
      <c r="A23" s="6" t="s">
        <v>112</v>
      </c>
      <c r="B23" s="7">
        <v>41071</v>
      </c>
      <c r="C23" s="8" t="s">
        <v>36</v>
      </c>
      <c r="D23" s="8" t="s">
        <v>103</v>
      </c>
      <c r="E23" s="8" t="s">
        <v>23</v>
      </c>
      <c r="F23" s="8" t="str">
        <f t="shared" si="1"/>
        <v>UNAB11200</v>
      </c>
      <c r="G23" s="9" t="s">
        <v>113</v>
      </c>
      <c r="H23" s="7" t="s">
        <v>38</v>
      </c>
      <c r="I23" s="7" t="s">
        <v>26</v>
      </c>
      <c r="J23" s="10" t="s">
        <v>103</v>
      </c>
      <c r="K23" s="11">
        <v>0.2</v>
      </c>
      <c r="L23" s="11">
        <v>0.3</v>
      </c>
      <c r="M23" s="11">
        <v>0.3</v>
      </c>
      <c r="N23" s="11">
        <v>0.1</v>
      </c>
      <c r="O23" s="11" t="s">
        <v>28</v>
      </c>
      <c r="P23" s="11">
        <v>0.1</v>
      </c>
      <c r="Q23" s="11" t="s">
        <v>28</v>
      </c>
      <c r="R23" s="7">
        <v>0</v>
      </c>
      <c r="S23" s="7">
        <v>458</v>
      </c>
      <c r="T23" s="12">
        <v>450</v>
      </c>
      <c r="U23" s="12">
        <f>VLOOKUP(B23,'[1]Carreras 2027'!$B:$AT,45,FALSE)</f>
        <v>450</v>
      </c>
      <c r="V23" t="s">
        <v>114</v>
      </c>
    </row>
    <row r="24" spans="1:22" x14ac:dyDescent="0.3">
      <c r="A24" s="6" t="s">
        <v>115</v>
      </c>
      <c r="B24" s="7">
        <v>41170</v>
      </c>
      <c r="C24" s="8" t="s">
        <v>31</v>
      </c>
      <c r="D24" s="8" t="s">
        <v>103</v>
      </c>
      <c r="E24" s="8" t="s">
        <v>23</v>
      </c>
      <c r="F24" s="8" t="str">
        <f t="shared" si="1"/>
        <v>UNAB21200</v>
      </c>
      <c r="G24" s="9" t="s">
        <v>116</v>
      </c>
      <c r="H24" s="7" t="s">
        <v>105</v>
      </c>
      <c r="I24" s="7" t="s">
        <v>99</v>
      </c>
      <c r="J24" s="10" t="s">
        <v>117</v>
      </c>
      <c r="K24" s="11">
        <v>0.2</v>
      </c>
      <c r="L24" s="11">
        <v>0.3</v>
      </c>
      <c r="M24" s="11">
        <v>0.3</v>
      </c>
      <c r="N24" s="11">
        <v>0.1</v>
      </c>
      <c r="O24" s="11" t="s">
        <v>28</v>
      </c>
      <c r="P24" s="11">
        <v>0.1</v>
      </c>
      <c r="Q24" s="11" t="s">
        <v>28</v>
      </c>
      <c r="R24" s="7">
        <v>0</v>
      </c>
      <c r="S24" s="7">
        <v>458</v>
      </c>
      <c r="T24" s="12">
        <v>450</v>
      </c>
      <c r="U24" s="12">
        <f>VLOOKUP(B24,'[1]Carreras 2027'!$B:$AT,45,FALSE)</f>
        <v>450</v>
      </c>
      <c r="V24" t="s">
        <v>118</v>
      </c>
    </row>
    <row r="25" spans="1:22" x14ac:dyDescent="0.3">
      <c r="A25" s="18" t="s">
        <v>119</v>
      </c>
      <c r="B25" s="19">
        <v>41198</v>
      </c>
      <c r="C25" s="8" t="s">
        <v>21</v>
      </c>
      <c r="D25" s="8" t="s">
        <v>103</v>
      </c>
      <c r="E25" s="8" t="s">
        <v>23</v>
      </c>
      <c r="F25" s="8" t="s">
        <v>120</v>
      </c>
      <c r="G25" s="9" t="s">
        <v>121</v>
      </c>
      <c r="H25" s="7" t="s">
        <v>25</v>
      </c>
      <c r="I25" s="7" t="s">
        <v>99</v>
      </c>
      <c r="J25" s="10" t="s">
        <v>117</v>
      </c>
      <c r="K25" s="11">
        <v>0.2</v>
      </c>
      <c r="L25" s="11">
        <v>0.3</v>
      </c>
      <c r="M25" s="11">
        <v>0.3</v>
      </c>
      <c r="N25" s="11">
        <v>0.1</v>
      </c>
      <c r="O25" s="11" t="s">
        <v>28</v>
      </c>
      <c r="P25" s="11">
        <v>0.1</v>
      </c>
      <c r="Q25" s="11" t="s">
        <v>28</v>
      </c>
      <c r="R25" s="7">
        <v>0</v>
      </c>
      <c r="S25" s="7">
        <v>458</v>
      </c>
      <c r="T25" s="12">
        <v>450</v>
      </c>
      <c r="U25" s="12">
        <f>VLOOKUP(B25,'[1]Carreras 2027'!$B:$AT,45,FALSE)</f>
        <v>450</v>
      </c>
      <c r="V25" t="s">
        <v>122</v>
      </c>
    </row>
    <row r="26" spans="1:22" x14ac:dyDescent="0.3">
      <c r="A26" s="6"/>
      <c r="B26" s="7">
        <v>41171</v>
      </c>
      <c r="C26" s="8" t="s">
        <v>36</v>
      </c>
      <c r="D26" s="8" t="s">
        <v>103</v>
      </c>
      <c r="E26" s="8" t="s">
        <v>23</v>
      </c>
      <c r="F26" s="8" t="str">
        <f>MID(G26,1,9)</f>
        <v>UNAB21200</v>
      </c>
      <c r="G26" s="9" t="s">
        <v>123</v>
      </c>
      <c r="H26" s="7" t="s">
        <v>38</v>
      </c>
      <c r="I26" s="7" t="s">
        <v>99</v>
      </c>
      <c r="J26" s="10" t="s">
        <v>117</v>
      </c>
      <c r="K26" s="11">
        <v>0.2</v>
      </c>
      <c r="L26" s="11">
        <v>0.3</v>
      </c>
      <c r="M26" s="11">
        <v>0.3</v>
      </c>
      <c r="N26" s="11">
        <v>0.1</v>
      </c>
      <c r="O26" s="11" t="s">
        <v>28</v>
      </c>
      <c r="P26" s="11">
        <v>0.1</v>
      </c>
      <c r="Q26" s="11" t="s">
        <v>28</v>
      </c>
      <c r="R26" s="7">
        <v>0</v>
      </c>
      <c r="S26" s="7">
        <v>458</v>
      </c>
      <c r="T26" s="12">
        <v>450</v>
      </c>
      <c r="U26" s="12">
        <f>VLOOKUP(B26,'[1]Carreras 2027'!$B:$AT,45,FALSE)</f>
        <v>450</v>
      </c>
      <c r="V26" t="s">
        <v>124</v>
      </c>
    </row>
    <row r="27" spans="1:22" x14ac:dyDescent="0.3">
      <c r="A27" s="6" t="s">
        <v>125</v>
      </c>
      <c r="B27" s="19">
        <v>1</v>
      </c>
      <c r="C27" s="8" t="s">
        <v>31</v>
      </c>
      <c r="D27" s="8" t="s">
        <v>126</v>
      </c>
      <c r="E27" s="8" t="s">
        <v>23</v>
      </c>
      <c r="F27" s="8" t="s">
        <v>127</v>
      </c>
      <c r="G27" s="9" t="s">
        <v>128</v>
      </c>
      <c r="H27" s="7" t="s">
        <v>58</v>
      </c>
      <c r="I27" s="7" t="s">
        <v>26</v>
      </c>
      <c r="J27" s="20" t="s">
        <v>129</v>
      </c>
      <c r="K27" s="21" t="s">
        <v>28</v>
      </c>
      <c r="L27" s="21" t="s">
        <v>28</v>
      </c>
      <c r="M27" s="21" t="s">
        <v>28</v>
      </c>
      <c r="N27" s="21" t="s">
        <v>28</v>
      </c>
      <c r="O27" s="21" t="s">
        <v>28</v>
      </c>
      <c r="P27" s="21" t="s">
        <v>28</v>
      </c>
      <c r="Q27" s="21" t="s">
        <v>28</v>
      </c>
      <c r="R27" s="7">
        <v>0</v>
      </c>
      <c r="S27" s="19" t="s">
        <v>28</v>
      </c>
      <c r="T27" s="19" t="s">
        <v>28</v>
      </c>
      <c r="U27" s="12" t="str">
        <f>VLOOKUP(B27,'[1]Carreras 2027'!$B:$AT,45,FALSE)</f>
        <v>-</v>
      </c>
      <c r="V27" t="s">
        <v>130</v>
      </c>
    </row>
    <row r="28" spans="1:22" x14ac:dyDescent="0.3">
      <c r="A28" s="6" t="s">
        <v>131</v>
      </c>
      <c r="B28" s="19">
        <v>2</v>
      </c>
      <c r="C28" s="8" t="s">
        <v>21</v>
      </c>
      <c r="D28" s="8" t="s">
        <v>126</v>
      </c>
      <c r="E28" s="8" t="s">
        <v>23</v>
      </c>
      <c r="F28" s="8" t="s">
        <v>127</v>
      </c>
      <c r="G28" s="9" t="s">
        <v>132</v>
      </c>
      <c r="H28" s="7" t="s">
        <v>25</v>
      </c>
      <c r="I28" s="7" t="s">
        <v>26</v>
      </c>
      <c r="J28" s="13" t="s">
        <v>129</v>
      </c>
      <c r="K28" s="21" t="s">
        <v>28</v>
      </c>
      <c r="L28" s="21" t="s">
        <v>28</v>
      </c>
      <c r="M28" s="21" t="s">
        <v>28</v>
      </c>
      <c r="N28" s="21" t="s">
        <v>28</v>
      </c>
      <c r="O28" s="21" t="s">
        <v>28</v>
      </c>
      <c r="P28" s="21" t="s">
        <v>28</v>
      </c>
      <c r="Q28" s="21" t="s">
        <v>28</v>
      </c>
      <c r="R28" s="7">
        <v>0</v>
      </c>
      <c r="S28" s="19" t="s">
        <v>28</v>
      </c>
      <c r="T28" s="19" t="s">
        <v>28</v>
      </c>
      <c r="U28" s="12" t="str">
        <f>VLOOKUP(B28,'[1]Carreras 2027'!$B:$AT,45,FALSE)</f>
        <v>-</v>
      </c>
      <c r="V28" t="s">
        <v>133</v>
      </c>
    </row>
    <row r="29" spans="1:22" x14ac:dyDescent="0.3">
      <c r="A29" s="6" t="s">
        <v>134</v>
      </c>
      <c r="B29" s="19">
        <v>3</v>
      </c>
      <c r="C29" s="8" t="s">
        <v>36</v>
      </c>
      <c r="D29" s="8" t="s">
        <v>126</v>
      </c>
      <c r="E29" s="8" t="s">
        <v>23</v>
      </c>
      <c r="F29" s="8" t="s">
        <v>127</v>
      </c>
      <c r="G29" s="9" t="s">
        <v>135</v>
      </c>
      <c r="H29" s="7" t="s">
        <v>38</v>
      </c>
      <c r="I29" s="7" t="s">
        <v>26</v>
      </c>
      <c r="J29" s="13" t="s">
        <v>129</v>
      </c>
      <c r="K29" s="21" t="s">
        <v>28</v>
      </c>
      <c r="L29" s="21" t="s">
        <v>28</v>
      </c>
      <c r="M29" s="21" t="s">
        <v>28</v>
      </c>
      <c r="N29" s="21" t="s">
        <v>28</v>
      </c>
      <c r="O29" s="21" t="s">
        <v>28</v>
      </c>
      <c r="P29" s="21" t="s">
        <v>28</v>
      </c>
      <c r="Q29" s="21" t="s">
        <v>28</v>
      </c>
      <c r="R29" s="7">
        <v>0</v>
      </c>
      <c r="S29" s="19" t="s">
        <v>28</v>
      </c>
      <c r="T29" s="19" t="s">
        <v>28</v>
      </c>
      <c r="U29" s="12" t="str">
        <f>VLOOKUP(B29,'[1]Carreras 2027'!$B:$AT,45,FALSE)</f>
        <v>-</v>
      </c>
      <c r="V29" t="s">
        <v>136</v>
      </c>
    </row>
    <row r="30" spans="1:22" x14ac:dyDescent="0.3">
      <c r="A30" s="6" t="s">
        <v>137</v>
      </c>
      <c r="B30" s="7">
        <v>41139</v>
      </c>
      <c r="C30" s="8" t="s">
        <v>31</v>
      </c>
      <c r="D30" s="8" t="s">
        <v>41</v>
      </c>
      <c r="E30" s="8" t="s">
        <v>23</v>
      </c>
      <c r="F30" s="8" t="str">
        <f t="shared" ref="F30:F40" si="2">MID(G30,1,9)</f>
        <v>UNAB19040</v>
      </c>
      <c r="G30" s="9" t="s">
        <v>138</v>
      </c>
      <c r="H30" s="7" t="s">
        <v>43</v>
      </c>
      <c r="I30" s="7" t="s">
        <v>26</v>
      </c>
      <c r="J30" s="10" t="s">
        <v>139</v>
      </c>
      <c r="K30" s="11">
        <v>0.2</v>
      </c>
      <c r="L30" s="11">
        <v>0.1</v>
      </c>
      <c r="M30" s="11">
        <v>0.1</v>
      </c>
      <c r="N30" s="11">
        <v>0.2</v>
      </c>
      <c r="O30" s="11" t="s">
        <v>28</v>
      </c>
      <c r="P30" s="11">
        <v>0.4</v>
      </c>
      <c r="Q30" s="11">
        <v>0.4</v>
      </c>
      <c r="R30" s="7">
        <v>0</v>
      </c>
      <c r="S30" s="7">
        <v>458</v>
      </c>
      <c r="T30" s="12">
        <v>450</v>
      </c>
      <c r="U30" s="12">
        <f>VLOOKUP(B30,'[1]Carreras 2027'!$B:$AT,45,FALSE)</f>
        <v>480</v>
      </c>
      <c r="V30" t="s">
        <v>140</v>
      </c>
    </row>
    <row r="31" spans="1:22" x14ac:dyDescent="0.3">
      <c r="A31" s="6" t="s">
        <v>141</v>
      </c>
      <c r="B31" s="7">
        <v>41211</v>
      </c>
      <c r="C31" s="8" t="s">
        <v>21</v>
      </c>
      <c r="D31" s="8" t="s">
        <v>41</v>
      </c>
      <c r="E31" s="8" t="s">
        <v>23</v>
      </c>
      <c r="F31" s="8" t="str">
        <f t="shared" si="2"/>
        <v>UNAB19040</v>
      </c>
      <c r="G31" s="9" t="s">
        <v>142</v>
      </c>
      <c r="H31" s="7" t="s">
        <v>25</v>
      </c>
      <c r="I31" s="7" t="s">
        <v>26</v>
      </c>
      <c r="J31" s="10" t="s">
        <v>139</v>
      </c>
      <c r="K31" s="11">
        <v>0.2</v>
      </c>
      <c r="L31" s="11">
        <v>0.1</v>
      </c>
      <c r="M31" s="11">
        <v>0.1</v>
      </c>
      <c r="N31" s="11">
        <v>0.2</v>
      </c>
      <c r="O31" s="11" t="s">
        <v>28</v>
      </c>
      <c r="P31" s="11">
        <v>0.4</v>
      </c>
      <c r="Q31" s="11">
        <v>0.4</v>
      </c>
      <c r="R31" s="7">
        <v>0</v>
      </c>
      <c r="S31" s="7">
        <v>458</v>
      </c>
      <c r="T31" s="12">
        <v>450</v>
      </c>
      <c r="U31" s="12">
        <f>VLOOKUP(B31,'[1]Carreras 2027'!$B:$AT,45,FALSE)</f>
        <v>450</v>
      </c>
      <c r="V31" t="s">
        <v>143</v>
      </c>
    </row>
    <row r="32" spans="1:22" x14ac:dyDescent="0.3">
      <c r="A32" s="22" t="s">
        <v>144</v>
      </c>
      <c r="B32" s="7">
        <v>41138</v>
      </c>
      <c r="C32" s="8" t="s">
        <v>31</v>
      </c>
      <c r="D32" s="8" t="s">
        <v>41</v>
      </c>
      <c r="E32" s="8" t="s">
        <v>23</v>
      </c>
      <c r="F32" s="8" t="str">
        <f t="shared" si="2"/>
        <v>UNAB19020</v>
      </c>
      <c r="G32" s="9" t="s">
        <v>145</v>
      </c>
      <c r="H32" s="7" t="s">
        <v>43</v>
      </c>
      <c r="I32" s="7" t="s">
        <v>26</v>
      </c>
      <c r="J32" s="10" t="s">
        <v>146</v>
      </c>
      <c r="K32" s="11">
        <v>0.2</v>
      </c>
      <c r="L32" s="11">
        <v>0.1</v>
      </c>
      <c r="M32" s="11">
        <v>0.1</v>
      </c>
      <c r="N32" s="11">
        <v>0.2</v>
      </c>
      <c r="O32" s="11" t="s">
        <v>28</v>
      </c>
      <c r="P32" s="11">
        <v>0.4</v>
      </c>
      <c r="Q32" s="11">
        <v>0.4</v>
      </c>
      <c r="R32" s="7">
        <v>0</v>
      </c>
      <c r="S32" s="7">
        <v>458</v>
      </c>
      <c r="T32" s="12">
        <v>450</v>
      </c>
      <c r="U32" s="12">
        <f>VLOOKUP(B32,'[1]Carreras 2027'!$B:$AT,45,FALSE)</f>
        <v>450</v>
      </c>
      <c r="V32" t="s">
        <v>147</v>
      </c>
    </row>
    <row r="33" spans="1:22" x14ac:dyDescent="0.3">
      <c r="A33" s="6" t="s">
        <v>148</v>
      </c>
      <c r="B33" s="7">
        <v>41002</v>
      </c>
      <c r="C33" s="8" t="s">
        <v>31</v>
      </c>
      <c r="D33" s="8" t="s">
        <v>41</v>
      </c>
      <c r="E33" s="8" t="s">
        <v>23</v>
      </c>
      <c r="F33" s="8" t="str">
        <f t="shared" si="2"/>
        <v>UNAB19030</v>
      </c>
      <c r="G33" s="9" t="s">
        <v>149</v>
      </c>
      <c r="H33" s="7" t="s">
        <v>43</v>
      </c>
      <c r="I33" s="7" t="s">
        <v>26</v>
      </c>
      <c r="J33" s="10" t="s">
        <v>150</v>
      </c>
      <c r="K33" s="11">
        <v>0.2</v>
      </c>
      <c r="L33" s="11">
        <v>0.1</v>
      </c>
      <c r="M33" s="11">
        <v>0.1</v>
      </c>
      <c r="N33" s="11">
        <v>0.2</v>
      </c>
      <c r="O33" s="11" t="s">
        <v>28</v>
      </c>
      <c r="P33" s="11">
        <v>0.4</v>
      </c>
      <c r="Q33" s="11">
        <v>0.4</v>
      </c>
      <c r="R33" s="7">
        <v>0</v>
      </c>
      <c r="S33" s="7">
        <v>458</v>
      </c>
      <c r="T33" s="12">
        <v>450</v>
      </c>
      <c r="U33" s="12">
        <f>VLOOKUP(B33,'[1]Carreras 2027'!$B:$AT,45,FALSE)</f>
        <v>520</v>
      </c>
      <c r="V33" t="s">
        <v>151</v>
      </c>
    </row>
    <row r="34" spans="1:22" x14ac:dyDescent="0.3">
      <c r="A34" s="6" t="s">
        <v>152</v>
      </c>
      <c r="B34" s="7">
        <v>41037</v>
      </c>
      <c r="C34" s="8" t="s">
        <v>31</v>
      </c>
      <c r="D34" s="8" t="s">
        <v>126</v>
      </c>
      <c r="E34" s="8" t="s">
        <v>23</v>
      </c>
      <c r="F34" s="8" t="str">
        <f t="shared" si="2"/>
        <v>UNAB13500</v>
      </c>
      <c r="G34" s="9" t="s">
        <v>153</v>
      </c>
      <c r="H34" s="7" t="s">
        <v>58</v>
      </c>
      <c r="I34" s="7" t="s">
        <v>26</v>
      </c>
      <c r="J34" s="14" t="s">
        <v>154</v>
      </c>
      <c r="K34" s="11">
        <v>0.2</v>
      </c>
      <c r="L34" s="11">
        <v>0.3</v>
      </c>
      <c r="M34" s="11">
        <v>0.1</v>
      </c>
      <c r="N34" s="11">
        <v>0.3</v>
      </c>
      <c r="O34" s="11" t="s">
        <v>28</v>
      </c>
      <c r="P34" s="11">
        <v>0.1</v>
      </c>
      <c r="Q34" s="11">
        <v>0.1</v>
      </c>
      <c r="R34" s="7">
        <v>0</v>
      </c>
      <c r="S34" s="12">
        <v>528</v>
      </c>
      <c r="T34" s="12">
        <v>450</v>
      </c>
      <c r="U34" s="12">
        <f>VLOOKUP(B34,'[1]Carreras 2027'!$B:$AT,45,FALSE)</f>
        <v>568</v>
      </c>
      <c r="V34" t="s">
        <v>155</v>
      </c>
    </row>
    <row r="35" spans="1:22" x14ac:dyDescent="0.3">
      <c r="A35" s="6" t="s">
        <v>156</v>
      </c>
      <c r="B35" s="7">
        <v>41082</v>
      </c>
      <c r="C35" s="8" t="s">
        <v>36</v>
      </c>
      <c r="D35" s="8" t="s">
        <v>126</v>
      </c>
      <c r="E35" s="8" t="s">
        <v>23</v>
      </c>
      <c r="F35" s="8" t="str">
        <f t="shared" si="2"/>
        <v>UNAB13500</v>
      </c>
      <c r="G35" s="9" t="s">
        <v>157</v>
      </c>
      <c r="H35" s="7" t="s">
        <v>38</v>
      </c>
      <c r="I35" s="7" t="s">
        <v>26</v>
      </c>
      <c r="J35" s="10" t="s">
        <v>154</v>
      </c>
      <c r="K35" s="11">
        <v>0.2</v>
      </c>
      <c r="L35" s="11">
        <v>0.3</v>
      </c>
      <c r="M35" s="11">
        <v>0.1</v>
      </c>
      <c r="N35" s="11">
        <v>0.3</v>
      </c>
      <c r="O35" s="11" t="s">
        <v>28</v>
      </c>
      <c r="P35" s="11">
        <v>0.1</v>
      </c>
      <c r="Q35" s="11">
        <v>0.1</v>
      </c>
      <c r="R35" s="7">
        <v>0</v>
      </c>
      <c r="S35" s="12">
        <v>528</v>
      </c>
      <c r="T35" s="12">
        <v>450</v>
      </c>
      <c r="U35" s="12">
        <f>VLOOKUP(B35,'[1]Carreras 2027'!$B:$AT,45,FALSE)</f>
        <v>568</v>
      </c>
      <c r="V35" t="s">
        <v>158</v>
      </c>
    </row>
    <row r="36" spans="1:22" x14ac:dyDescent="0.3">
      <c r="A36" s="13" t="s">
        <v>159</v>
      </c>
      <c r="B36" s="7">
        <v>41182</v>
      </c>
      <c r="C36" s="8" t="s">
        <v>31</v>
      </c>
      <c r="D36" s="8" t="s">
        <v>126</v>
      </c>
      <c r="E36" s="8" t="s">
        <v>23</v>
      </c>
      <c r="F36" s="8" t="str">
        <f t="shared" si="2"/>
        <v>UNAB23500</v>
      </c>
      <c r="G36" s="9" t="s">
        <v>160</v>
      </c>
      <c r="H36" s="7" t="s">
        <v>33</v>
      </c>
      <c r="I36" s="7" t="s">
        <v>99</v>
      </c>
      <c r="J36" s="10" t="s">
        <v>161</v>
      </c>
      <c r="K36" s="11">
        <v>0.2</v>
      </c>
      <c r="L36" s="11">
        <v>0.3</v>
      </c>
      <c r="M36" s="11">
        <v>0.1</v>
      </c>
      <c r="N36" s="11">
        <v>0.3</v>
      </c>
      <c r="O36" s="21" t="s">
        <v>28</v>
      </c>
      <c r="P36" s="11">
        <v>0.1</v>
      </c>
      <c r="Q36" s="11">
        <v>0.1</v>
      </c>
      <c r="R36" s="7">
        <v>0</v>
      </c>
      <c r="S36" s="12">
        <v>528</v>
      </c>
      <c r="T36" s="12">
        <v>450</v>
      </c>
      <c r="U36" s="12" t="str">
        <f>VLOOKUP(B36,'[1]Carreras 2027'!$B:$AT,45,FALSE)</f>
        <v>-</v>
      </c>
      <c r="V36" t="s">
        <v>162</v>
      </c>
    </row>
    <row r="37" spans="1:22" x14ac:dyDescent="0.3">
      <c r="A37" s="18" t="s">
        <v>24</v>
      </c>
      <c r="B37" s="7">
        <v>41216</v>
      </c>
      <c r="C37" s="8" t="s">
        <v>31</v>
      </c>
      <c r="D37" s="8" t="s">
        <v>163</v>
      </c>
      <c r="E37" s="8" t="s">
        <v>23</v>
      </c>
      <c r="F37" s="8" t="str">
        <f t="shared" si="2"/>
        <v>UNAB19400</v>
      </c>
      <c r="G37" s="9" t="s">
        <v>164</v>
      </c>
      <c r="H37" s="7" t="s">
        <v>58</v>
      </c>
      <c r="I37" s="7" t="s">
        <v>26</v>
      </c>
      <c r="J37" s="14" t="s">
        <v>165</v>
      </c>
      <c r="K37" s="11">
        <v>0.1</v>
      </c>
      <c r="L37" s="11">
        <v>0.3</v>
      </c>
      <c r="M37" s="11">
        <v>0.2</v>
      </c>
      <c r="N37" s="11">
        <v>0.2</v>
      </c>
      <c r="O37" s="11" t="s">
        <v>28</v>
      </c>
      <c r="P37" s="11" t="s">
        <v>28</v>
      </c>
      <c r="Q37" s="11">
        <v>0.2</v>
      </c>
      <c r="R37" s="7">
        <v>0</v>
      </c>
      <c r="S37" s="7">
        <v>458</v>
      </c>
      <c r="T37" s="16">
        <v>530</v>
      </c>
      <c r="U37" s="12">
        <f>VLOOKUP(B37,'[1]Carreras 2027'!$B:$AT,45,FALSE)</f>
        <v>510</v>
      </c>
      <c r="V37" t="s">
        <v>166</v>
      </c>
    </row>
    <row r="38" spans="1:22" x14ac:dyDescent="0.3">
      <c r="A38" s="6" t="s">
        <v>47</v>
      </c>
      <c r="B38" s="7">
        <v>41111</v>
      </c>
      <c r="C38" s="8" t="s">
        <v>21</v>
      </c>
      <c r="D38" s="8" t="s">
        <v>163</v>
      </c>
      <c r="E38" s="8" t="s">
        <v>23</v>
      </c>
      <c r="F38" s="8" t="str">
        <f t="shared" si="2"/>
        <v>UNAB19400</v>
      </c>
      <c r="G38" s="9" t="s">
        <v>167</v>
      </c>
      <c r="H38" s="7" t="s">
        <v>25</v>
      </c>
      <c r="I38" s="7" t="s">
        <v>26</v>
      </c>
      <c r="J38" s="10" t="s">
        <v>165</v>
      </c>
      <c r="K38" s="11">
        <v>0.1</v>
      </c>
      <c r="L38" s="11">
        <v>0.3</v>
      </c>
      <c r="M38" s="11">
        <v>0.2</v>
      </c>
      <c r="N38" s="11">
        <v>0.2</v>
      </c>
      <c r="O38" s="11" t="s">
        <v>28</v>
      </c>
      <c r="P38" s="11" t="s">
        <v>28</v>
      </c>
      <c r="Q38" s="11">
        <v>0.2</v>
      </c>
      <c r="R38" s="7">
        <v>0</v>
      </c>
      <c r="S38" s="7">
        <v>458</v>
      </c>
      <c r="T38" s="16">
        <v>538</v>
      </c>
      <c r="U38" s="12">
        <f>VLOOKUP(B38,'[1]Carreras 2027'!$B:$AT,45,FALSE)</f>
        <v>510</v>
      </c>
      <c r="V38" t="s">
        <v>168</v>
      </c>
    </row>
    <row r="39" spans="1:22" x14ac:dyDescent="0.3">
      <c r="A39" s="6" t="s">
        <v>104</v>
      </c>
      <c r="B39" s="7">
        <v>41032</v>
      </c>
      <c r="C39" s="8" t="s">
        <v>31</v>
      </c>
      <c r="D39" s="8" t="s">
        <v>163</v>
      </c>
      <c r="E39" s="8" t="s">
        <v>23</v>
      </c>
      <c r="F39" s="8" t="str">
        <f t="shared" si="2"/>
        <v>UNAB19400</v>
      </c>
      <c r="G39" s="9" t="s">
        <v>169</v>
      </c>
      <c r="H39" s="7" t="s">
        <v>33</v>
      </c>
      <c r="I39" s="7" t="s">
        <v>26</v>
      </c>
      <c r="J39" s="10" t="s">
        <v>165</v>
      </c>
      <c r="K39" s="11">
        <v>0.1</v>
      </c>
      <c r="L39" s="11">
        <v>0.3</v>
      </c>
      <c r="M39" s="11">
        <v>0.2</v>
      </c>
      <c r="N39" s="11">
        <v>0.2</v>
      </c>
      <c r="O39" s="11" t="s">
        <v>28</v>
      </c>
      <c r="P39" s="11" t="s">
        <v>28</v>
      </c>
      <c r="Q39" s="11">
        <v>0.2</v>
      </c>
      <c r="R39" s="7">
        <v>0</v>
      </c>
      <c r="S39" s="12">
        <v>458</v>
      </c>
      <c r="T39" s="16">
        <v>509</v>
      </c>
      <c r="U39" s="12">
        <f>VLOOKUP(B39,'[1]Carreras 2027'!$B:$AT,45,FALSE)</f>
        <v>510</v>
      </c>
      <c r="V39" t="s">
        <v>166</v>
      </c>
    </row>
    <row r="40" spans="1:22" x14ac:dyDescent="0.3">
      <c r="A40" s="13" t="s">
        <v>135</v>
      </c>
      <c r="B40" s="7">
        <v>41078</v>
      </c>
      <c r="C40" s="8" t="s">
        <v>36</v>
      </c>
      <c r="D40" s="8" t="s">
        <v>163</v>
      </c>
      <c r="E40" s="8" t="s">
        <v>23</v>
      </c>
      <c r="F40" s="8" t="str">
        <f t="shared" si="2"/>
        <v>UNAB19400</v>
      </c>
      <c r="G40" s="9" t="s">
        <v>170</v>
      </c>
      <c r="H40" s="7" t="s">
        <v>38</v>
      </c>
      <c r="I40" s="7" t="s">
        <v>26</v>
      </c>
      <c r="J40" s="10" t="s">
        <v>165</v>
      </c>
      <c r="K40" s="11">
        <v>0.1</v>
      </c>
      <c r="L40" s="11">
        <v>0.3</v>
      </c>
      <c r="M40" s="11">
        <v>0.2</v>
      </c>
      <c r="N40" s="11">
        <v>0.2</v>
      </c>
      <c r="O40" s="11" t="s">
        <v>28</v>
      </c>
      <c r="P40" s="11" t="s">
        <v>28</v>
      </c>
      <c r="Q40" s="11">
        <v>0.2</v>
      </c>
      <c r="R40" s="7">
        <v>0</v>
      </c>
      <c r="S40" s="7">
        <v>458</v>
      </c>
      <c r="T40" s="16">
        <v>598</v>
      </c>
      <c r="U40" s="12">
        <f>VLOOKUP(B40,'[1]Carreras 2027'!$B:$AT,45,FALSE)</f>
        <v>510</v>
      </c>
      <c r="V40" t="s">
        <v>171</v>
      </c>
    </row>
    <row r="41" spans="1:22" x14ac:dyDescent="0.3">
      <c r="A41" s="6"/>
      <c r="B41" s="7">
        <v>41226</v>
      </c>
      <c r="C41" s="8" t="s">
        <v>31</v>
      </c>
      <c r="D41" s="8" t="s">
        <v>172</v>
      </c>
      <c r="E41" s="8" t="s">
        <v>23</v>
      </c>
      <c r="F41" s="8" t="s">
        <v>173</v>
      </c>
      <c r="G41" s="8" t="s">
        <v>174</v>
      </c>
      <c r="H41" s="7" t="s">
        <v>58</v>
      </c>
      <c r="I41" s="7" t="s">
        <v>26</v>
      </c>
      <c r="J41" s="10" t="s">
        <v>175</v>
      </c>
      <c r="K41" s="11"/>
      <c r="L41" s="11"/>
      <c r="M41" s="11"/>
      <c r="N41" s="11"/>
      <c r="O41" s="11"/>
      <c r="P41" s="11"/>
      <c r="Q41" s="11"/>
      <c r="R41" s="7"/>
      <c r="S41" s="7"/>
      <c r="T41" s="12"/>
      <c r="U41" s="12">
        <f>VLOOKUP(B41,'[1]Carreras 2027'!$B:$AT,45,FALSE)</f>
        <v>500</v>
      </c>
      <c r="V41" t="s">
        <v>176</v>
      </c>
    </row>
    <row r="42" spans="1:22" x14ac:dyDescent="0.3">
      <c r="A42" s="6" t="s">
        <v>177</v>
      </c>
      <c r="B42" s="7">
        <v>41199</v>
      </c>
      <c r="C42" s="8" t="s">
        <v>31</v>
      </c>
      <c r="D42" s="8" t="s">
        <v>126</v>
      </c>
      <c r="E42" s="8" t="s">
        <v>23</v>
      </c>
      <c r="F42" s="8" t="s">
        <v>178</v>
      </c>
      <c r="G42" s="9" t="s">
        <v>179</v>
      </c>
      <c r="H42" s="7" t="s">
        <v>58</v>
      </c>
      <c r="I42" s="7" t="s">
        <v>26</v>
      </c>
      <c r="J42" s="14" t="s">
        <v>180</v>
      </c>
      <c r="K42" s="11">
        <v>0.3</v>
      </c>
      <c r="L42" s="11">
        <v>0.4</v>
      </c>
      <c r="M42" s="11">
        <v>0.1</v>
      </c>
      <c r="N42" s="11">
        <v>0.1</v>
      </c>
      <c r="O42" s="11" t="s">
        <v>28</v>
      </c>
      <c r="P42" s="11">
        <v>0.1</v>
      </c>
      <c r="Q42" s="11">
        <v>0.1</v>
      </c>
      <c r="R42" s="7">
        <v>0</v>
      </c>
      <c r="S42" s="7">
        <v>458</v>
      </c>
      <c r="T42" s="12">
        <v>450</v>
      </c>
      <c r="U42" s="12">
        <f>VLOOKUP(B42,'[1]Carreras 2027'!$B:$AT,45,FALSE)</f>
        <v>450</v>
      </c>
      <c r="V42" t="s">
        <v>181</v>
      </c>
    </row>
    <row r="43" spans="1:22" x14ac:dyDescent="0.3">
      <c r="A43" s="6" t="s">
        <v>182</v>
      </c>
      <c r="B43" s="7">
        <v>41201</v>
      </c>
      <c r="C43" s="8" t="s">
        <v>21</v>
      </c>
      <c r="D43" s="8" t="s">
        <v>126</v>
      </c>
      <c r="E43" s="8" t="s">
        <v>23</v>
      </c>
      <c r="F43" s="8" t="s">
        <v>178</v>
      </c>
      <c r="G43" s="9" t="s">
        <v>183</v>
      </c>
      <c r="H43" s="7" t="s">
        <v>25</v>
      </c>
      <c r="I43" s="7" t="s">
        <v>26</v>
      </c>
      <c r="J43" s="10" t="s">
        <v>180</v>
      </c>
      <c r="K43" s="11">
        <v>0.3</v>
      </c>
      <c r="L43" s="11">
        <v>0.4</v>
      </c>
      <c r="M43" s="11">
        <v>0.1</v>
      </c>
      <c r="N43" s="11">
        <v>0.1</v>
      </c>
      <c r="O43" s="11" t="s">
        <v>28</v>
      </c>
      <c r="P43" s="11">
        <v>0.1</v>
      </c>
      <c r="Q43" s="11">
        <v>0.1</v>
      </c>
      <c r="R43" s="7">
        <v>0</v>
      </c>
      <c r="S43" s="7">
        <v>458</v>
      </c>
      <c r="T43" s="12">
        <v>450</v>
      </c>
      <c r="U43" s="12">
        <f>VLOOKUP(B43,'[1]Carreras 2027'!$B:$AT,45,FALSE)</f>
        <v>450</v>
      </c>
      <c r="V43" t="s">
        <v>184</v>
      </c>
    </row>
    <row r="44" spans="1:22" x14ac:dyDescent="0.3">
      <c r="A44" s="6" t="s">
        <v>185</v>
      </c>
      <c r="B44" s="7">
        <v>41200</v>
      </c>
      <c r="C44" s="8" t="s">
        <v>36</v>
      </c>
      <c r="D44" s="8" t="s">
        <v>126</v>
      </c>
      <c r="E44" s="8" t="s">
        <v>23</v>
      </c>
      <c r="F44" s="8" t="s">
        <v>178</v>
      </c>
      <c r="G44" s="9" t="s">
        <v>186</v>
      </c>
      <c r="H44" s="7" t="s">
        <v>38</v>
      </c>
      <c r="I44" s="7" t="s">
        <v>26</v>
      </c>
      <c r="J44" s="10" t="s">
        <v>180</v>
      </c>
      <c r="K44" s="11">
        <v>0.3</v>
      </c>
      <c r="L44" s="11">
        <v>0.4</v>
      </c>
      <c r="M44" s="11">
        <v>0.1</v>
      </c>
      <c r="N44" s="11">
        <v>0.1</v>
      </c>
      <c r="O44" s="11" t="s">
        <v>28</v>
      </c>
      <c r="P44" s="11">
        <v>0.1</v>
      </c>
      <c r="Q44" s="11">
        <v>0.1</v>
      </c>
      <c r="R44" s="7">
        <v>0</v>
      </c>
      <c r="S44" s="7">
        <v>458</v>
      </c>
      <c r="T44" s="12">
        <v>450</v>
      </c>
      <c r="U44" s="12">
        <f>VLOOKUP(B44,'[1]Carreras 2027'!$B:$AT,45,FALSE)</f>
        <v>450</v>
      </c>
      <c r="V44" t="s">
        <v>187</v>
      </c>
    </row>
    <row r="45" spans="1:22" x14ac:dyDescent="0.3">
      <c r="A45" s="18" t="s">
        <v>32</v>
      </c>
      <c r="B45" s="7">
        <v>41008</v>
      </c>
      <c r="C45" s="8" t="s">
        <v>31</v>
      </c>
      <c r="D45" s="8" t="s">
        <v>188</v>
      </c>
      <c r="E45" s="8" t="s">
        <v>23</v>
      </c>
      <c r="F45" s="8" t="str">
        <f t="shared" ref="F45:F50" si="3">MID(G45,1,9)</f>
        <v>UNAB19750</v>
      </c>
      <c r="G45" s="9" t="s">
        <v>189</v>
      </c>
      <c r="H45" s="7" t="s">
        <v>58</v>
      </c>
      <c r="I45" s="7" t="s">
        <v>26</v>
      </c>
      <c r="J45" s="14" t="s">
        <v>190</v>
      </c>
      <c r="K45" s="11">
        <v>0.2</v>
      </c>
      <c r="L45" s="11">
        <v>0.3</v>
      </c>
      <c r="M45" s="11">
        <v>0.1</v>
      </c>
      <c r="N45" s="11">
        <v>0.3</v>
      </c>
      <c r="O45" s="11" t="s">
        <v>28</v>
      </c>
      <c r="P45" s="11">
        <v>0.1</v>
      </c>
      <c r="Q45" s="11">
        <v>0.1</v>
      </c>
      <c r="R45" s="7">
        <v>0</v>
      </c>
      <c r="S45" s="7">
        <v>458</v>
      </c>
      <c r="T45" s="12">
        <v>450</v>
      </c>
      <c r="U45" s="12">
        <f>VLOOKUP(B45,'[1]Carreras 2027'!$B:$AT,45,FALSE)</f>
        <v>450</v>
      </c>
      <c r="V45" t="s">
        <v>191</v>
      </c>
    </row>
    <row r="46" spans="1:22" x14ac:dyDescent="0.3">
      <c r="A46" s="6" t="s">
        <v>53</v>
      </c>
      <c r="B46" s="7">
        <v>41156</v>
      </c>
      <c r="C46" s="8" t="s">
        <v>21</v>
      </c>
      <c r="D46" s="8" t="s">
        <v>188</v>
      </c>
      <c r="E46" s="8" t="s">
        <v>23</v>
      </c>
      <c r="F46" s="8" t="str">
        <f t="shared" si="3"/>
        <v>UNAB19750</v>
      </c>
      <c r="G46" s="9" t="s">
        <v>192</v>
      </c>
      <c r="H46" s="7" t="s">
        <v>25</v>
      </c>
      <c r="I46" s="7" t="s">
        <v>26</v>
      </c>
      <c r="J46" s="10" t="s">
        <v>190</v>
      </c>
      <c r="K46" s="11">
        <v>0.2</v>
      </c>
      <c r="L46" s="11">
        <v>0.3</v>
      </c>
      <c r="M46" s="11">
        <v>0.1</v>
      </c>
      <c r="N46" s="11">
        <v>0.3</v>
      </c>
      <c r="O46" s="11" t="s">
        <v>28</v>
      </c>
      <c r="P46" s="11">
        <v>0.1</v>
      </c>
      <c r="Q46" s="11">
        <v>0.1</v>
      </c>
      <c r="R46" s="7">
        <v>0</v>
      </c>
      <c r="S46" s="7">
        <v>458</v>
      </c>
      <c r="T46" s="12">
        <v>450</v>
      </c>
      <c r="U46" s="12">
        <f>VLOOKUP(B46,'[1]Carreras 2027'!$B:$AT,45,FALSE)</f>
        <v>450</v>
      </c>
      <c r="V46" t="s">
        <v>193</v>
      </c>
    </row>
    <row r="47" spans="1:22" x14ac:dyDescent="0.3">
      <c r="A47" s="6" t="s">
        <v>138</v>
      </c>
      <c r="B47" s="7">
        <v>41163</v>
      </c>
      <c r="C47" s="8" t="s">
        <v>36</v>
      </c>
      <c r="D47" s="8" t="s">
        <v>188</v>
      </c>
      <c r="E47" s="8" t="s">
        <v>23</v>
      </c>
      <c r="F47" s="8" t="str">
        <f t="shared" si="3"/>
        <v>UNAB19750</v>
      </c>
      <c r="G47" s="9" t="s">
        <v>194</v>
      </c>
      <c r="H47" s="7" t="s">
        <v>38</v>
      </c>
      <c r="I47" s="7" t="s">
        <v>26</v>
      </c>
      <c r="J47" s="10" t="s">
        <v>190</v>
      </c>
      <c r="K47" s="11">
        <v>0.2</v>
      </c>
      <c r="L47" s="11">
        <v>0.3</v>
      </c>
      <c r="M47" s="11">
        <v>0.1</v>
      </c>
      <c r="N47" s="11">
        <v>0.3</v>
      </c>
      <c r="O47" s="11" t="s">
        <v>28</v>
      </c>
      <c r="P47" s="11">
        <v>0.1</v>
      </c>
      <c r="Q47" s="11">
        <v>0.1</v>
      </c>
      <c r="R47" s="7">
        <v>0</v>
      </c>
      <c r="S47" s="7">
        <v>458</v>
      </c>
      <c r="T47" s="12">
        <v>450</v>
      </c>
      <c r="U47" s="12">
        <f>VLOOKUP(B47,'[1]Carreras 2027'!$B:$AT,45,FALSE)</f>
        <v>450</v>
      </c>
      <c r="V47" t="s">
        <v>195</v>
      </c>
    </row>
    <row r="48" spans="1:22" x14ac:dyDescent="0.3">
      <c r="A48" s="6" t="s">
        <v>196</v>
      </c>
      <c r="B48" s="7">
        <v>41118</v>
      </c>
      <c r="C48" s="8" t="s">
        <v>21</v>
      </c>
      <c r="D48" s="8" t="s">
        <v>82</v>
      </c>
      <c r="E48" s="8" t="s">
        <v>23</v>
      </c>
      <c r="F48" s="8" t="str">
        <f t="shared" si="3"/>
        <v>UNAB11350</v>
      </c>
      <c r="G48" s="9" t="s">
        <v>197</v>
      </c>
      <c r="H48" s="7" t="s">
        <v>25</v>
      </c>
      <c r="I48" s="7" t="s">
        <v>26</v>
      </c>
      <c r="J48" s="10" t="s">
        <v>198</v>
      </c>
      <c r="K48" s="11">
        <v>0.2</v>
      </c>
      <c r="L48" s="11">
        <v>0.3</v>
      </c>
      <c r="M48" s="11">
        <v>0.1</v>
      </c>
      <c r="N48" s="11">
        <v>0.3</v>
      </c>
      <c r="O48" s="11" t="s">
        <v>28</v>
      </c>
      <c r="P48" s="11" t="s">
        <v>28</v>
      </c>
      <c r="Q48" s="11">
        <v>0.1</v>
      </c>
      <c r="R48" s="7">
        <v>0</v>
      </c>
      <c r="S48" s="7">
        <v>458</v>
      </c>
      <c r="T48" s="12">
        <v>450</v>
      </c>
      <c r="U48" s="12">
        <f>VLOOKUP(B48,'[1]Carreras 2027'!$B:$AT,45,FALSE)</f>
        <v>500</v>
      </c>
      <c r="V48" t="s">
        <v>199</v>
      </c>
    </row>
    <row r="49" spans="1:22" x14ac:dyDescent="0.3">
      <c r="A49" s="6" t="s">
        <v>200</v>
      </c>
      <c r="B49" s="7">
        <v>41043</v>
      </c>
      <c r="C49" s="8" t="s">
        <v>31</v>
      </c>
      <c r="D49" s="8" t="s">
        <v>82</v>
      </c>
      <c r="E49" s="8" t="s">
        <v>23</v>
      </c>
      <c r="F49" s="8" t="str">
        <f t="shared" si="3"/>
        <v>UNAB11350</v>
      </c>
      <c r="G49" s="9" t="s">
        <v>201</v>
      </c>
      <c r="H49" s="7" t="s">
        <v>33</v>
      </c>
      <c r="I49" s="7" t="s">
        <v>26</v>
      </c>
      <c r="J49" s="10" t="s">
        <v>198</v>
      </c>
      <c r="K49" s="11">
        <v>0.2</v>
      </c>
      <c r="L49" s="11">
        <v>0.3</v>
      </c>
      <c r="M49" s="11">
        <v>0.1</v>
      </c>
      <c r="N49" s="11">
        <v>0.3</v>
      </c>
      <c r="O49" s="11" t="s">
        <v>28</v>
      </c>
      <c r="P49" s="11" t="s">
        <v>28</v>
      </c>
      <c r="Q49" s="11">
        <v>0.1</v>
      </c>
      <c r="R49" s="7">
        <v>0</v>
      </c>
      <c r="S49" s="7">
        <v>458</v>
      </c>
      <c r="T49" s="12">
        <v>450</v>
      </c>
      <c r="U49" s="12">
        <f>VLOOKUP(B49,'[1]Carreras 2027'!$B:$AT,45,FALSE)</f>
        <v>500</v>
      </c>
      <c r="V49" t="s">
        <v>202</v>
      </c>
    </row>
    <row r="50" spans="1:22" x14ac:dyDescent="0.3">
      <c r="A50" s="6" t="s">
        <v>203</v>
      </c>
      <c r="B50" s="7">
        <v>41088</v>
      </c>
      <c r="C50" s="8" t="s">
        <v>36</v>
      </c>
      <c r="D50" s="8" t="s">
        <v>82</v>
      </c>
      <c r="E50" s="8" t="s">
        <v>23</v>
      </c>
      <c r="F50" s="8" t="str">
        <f t="shared" si="3"/>
        <v>UNAB11350</v>
      </c>
      <c r="G50" s="9" t="s">
        <v>102</v>
      </c>
      <c r="H50" s="7" t="s">
        <v>38</v>
      </c>
      <c r="I50" s="7" t="s">
        <v>26</v>
      </c>
      <c r="J50" s="10" t="s">
        <v>198</v>
      </c>
      <c r="K50" s="11">
        <v>0.2</v>
      </c>
      <c r="L50" s="11">
        <v>0.3</v>
      </c>
      <c r="M50" s="11">
        <v>0.1</v>
      </c>
      <c r="N50" s="11">
        <v>0.3</v>
      </c>
      <c r="O50" s="11" t="s">
        <v>28</v>
      </c>
      <c r="P50" s="11" t="s">
        <v>28</v>
      </c>
      <c r="Q50" s="11">
        <v>0.1</v>
      </c>
      <c r="R50" s="7">
        <v>0</v>
      </c>
      <c r="S50" s="7">
        <v>458</v>
      </c>
      <c r="T50" s="12">
        <v>450</v>
      </c>
      <c r="U50" s="12">
        <f>VLOOKUP(B50,'[1]Carreras 2027'!$B:$AT,45,FALSE)</f>
        <v>500</v>
      </c>
      <c r="V50" t="s">
        <v>204</v>
      </c>
    </row>
    <row r="51" spans="1:22" x14ac:dyDescent="0.3">
      <c r="A51" s="6"/>
      <c r="B51" s="7">
        <v>41225</v>
      </c>
      <c r="C51" s="8" t="s">
        <v>31</v>
      </c>
      <c r="D51" s="8" t="s">
        <v>172</v>
      </c>
      <c r="E51" s="8" t="s">
        <v>23</v>
      </c>
      <c r="F51" s="8" t="s">
        <v>205</v>
      </c>
      <c r="G51" s="8" t="s">
        <v>206</v>
      </c>
      <c r="H51" s="7" t="s">
        <v>58</v>
      </c>
      <c r="I51" s="7" t="s">
        <v>26</v>
      </c>
      <c r="J51" s="10" t="s">
        <v>207</v>
      </c>
      <c r="K51" s="11"/>
      <c r="L51" s="11"/>
      <c r="M51" s="11"/>
      <c r="N51" s="11"/>
      <c r="O51" s="11"/>
      <c r="P51" s="11"/>
      <c r="Q51" s="11"/>
      <c r="R51" s="7"/>
      <c r="S51" s="7"/>
      <c r="T51" s="12"/>
      <c r="U51" s="12">
        <f>VLOOKUP(B51,'[1]Carreras 2027'!$B:$AT,45,FALSE)</f>
        <v>500</v>
      </c>
      <c r="V51" t="s">
        <v>208</v>
      </c>
    </row>
    <row r="52" spans="1:22" x14ac:dyDescent="0.3">
      <c r="A52" s="6" t="s">
        <v>209</v>
      </c>
      <c r="B52" s="7">
        <v>41024</v>
      </c>
      <c r="C52" s="8" t="s">
        <v>31</v>
      </c>
      <c r="D52" s="8" t="s">
        <v>22</v>
      </c>
      <c r="E52" s="8" t="s">
        <v>23</v>
      </c>
      <c r="F52" s="8" t="str">
        <f>MID(G52,1,9)</f>
        <v>UNAB17000</v>
      </c>
      <c r="G52" s="9" t="s">
        <v>115</v>
      </c>
      <c r="H52" s="7" t="s">
        <v>33</v>
      </c>
      <c r="I52" s="7" t="s">
        <v>26</v>
      </c>
      <c r="J52" s="10" t="s">
        <v>210</v>
      </c>
      <c r="K52" s="11">
        <v>0.2</v>
      </c>
      <c r="L52" s="11">
        <v>0.25</v>
      </c>
      <c r="M52" s="11">
        <v>0.1</v>
      </c>
      <c r="N52" s="11">
        <v>0.3</v>
      </c>
      <c r="O52" s="11">
        <v>0.05</v>
      </c>
      <c r="P52" s="11">
        <v>0.1</v>
      </c>
      <c r="Q52" s="11">
        <v>0.1</v>
      </c>
      <c r="R52" s="7">
        <v>0</v>
      </c>
      <c r="S52" s="7">
        <v>458</v>
      </c>
      <c r="T52" s="12">
        <v>450</v>
      </c>
      <c r="U52" s="12">
        <f>VLOOKUP(B52,'[1]Carreras 2027'!$B:$AT,45,FALSE)</f>
        <v>555</v>
      </c>
      <c r="V52" t="s">
        <v>211</v>
      </c>
    </row>
    <row r="53" spans="1:22" x14ac:dyDescent="0.3">
      <c r="A53" s="23" t="s">
        <v>179</v>
      </c>
      <c r="B53" s="7">
        <v>41044</v>
      </c>
      <c r="C53" s="8" t="s">
        <v>31</v>
      </c>
      <c r="D53" s="8" t="s">
        <v>82</v>
      </c>
      <c r="E53" s="8" t="s">
        <v>23</v>
      </c>
      <c r="F53" s="8" t="str">
        <f>MID(G53,1,9)</f>
        <v>UNAB11300</v>
      </c>
      <c r="G53" s="9" t="s">
        <v>212</v>
      </c>
      <c r="H53" s="7" t="s">
        <v>213</v>
      </c>
      <c r="I53" s="7" t="s">
        <v>26</v>
      </c>
      <c r="J53" s="10" t="s">
        <v>214</v>
      </c>
      <c r="K53" s="11">
        <v>0.3</v>
      </c>
      <c r="L53" s="11">
        <v>0.15</v>
      </c>
      <c r="M53" s="11">
        <v>0.1</v>
      </c>
      <c r="N53" s="11">
        <v>0.3</v>
      </c>
      <c r="O53" s="11">
        <v>0.05</v>
      </c>
      <c r="P53" s="11" t="s">
        <v>28</v>
      </c>
      <c r="Q53" s="11">
        <v>0.1</v>
      </c>
      <c r="R53" s="7">
        <v>0</v>
      </c>
      <c r="S53" s="7">
        <v>458</v>
      </c>
      <c r="T53" s="12">
        <v>450</v>
      </c>
      <c r="U53" s="12">
        <f>VLOOKUP(B53,'[1]Carreras 2027'!$B:$AT,45,FALSE)</f>
        <v>500</v>
      </c>
      <c r="V53" t="s">
        <v>215</v>
      </c>
    </row>
    <row r="54" spans="1:22" x14ac:dyDescent="0.3">
      <c r="A54" s="23" t="s">
        <v>183</v>
      </c>
      <c r="B54" s="24">
        <v>41204</v>
      </c>
      <c r="C54" s="25" t="s">
        <v>31</v>
      </c>
      <c r="D54" s="25" t="s">
        <v>82</v>
      </c>
      <c r="E54" s="25" t="s">
        <v>23</v>
      </c>
      <c r="F54" s="8" t="s">
        <v>216</v>
      </c>
      <c r="G54" s="9" t="s">
        <v>217</v>
      </c>
      <c r="H54" s="24" t="s">
        <v>213</v>
      </c>
      <c r="I54" s="7" t="s">
        <v>26</v>
      </c>
      <c r="J54" s="26" t="s">
        <v>218</v>
      </c>
      <c r="K54" s="27">
        <v>0.2</v>
      </c>
      <c r="L54" s="27">
        <v>0.25</v>
      </c>
      <c r="M54" s="27">
        <v>0.1</v>
      </c>
      <c r="N54" s="27">
        <v>0.3</v>
      </c>
      <c r="O54" s="27">
        <v>0.05</v>
      </c>
      <c r="P54" s="27" t="s">
        <v>28</v>
      </c>
      <c r="Q54" s="27">
        <v>0.1</v>
      </c>
      <c r="R54" s="24">
        <v>0</v>
      </c>
      <c r="S54" s="24">
        <v>458</v>
      </c>
      <c r="T54" s="16">
        <v>540</v>
      </c>
      <c r="U54" s="12">
        <f>VLOOKUP(B54,'[1]Carreras 2027'!$B:$AT,45,FALSE)</f>
        <v>500</v>
      </c>
      <c r="V54" t="s">
        <v>219</v>
      </c>
    </row>
    <row r="55" spans="1:22" x14ac:dyDescent="0.3">
      <c r="A55" s="6"/>
      <c r="B55" s="7">
        <v>41227</v>
      </c>
      <c r="C55" s="8" t="s">
        <v>31</v>
      </c>
      <c r="D55" s="8" t="s">
        <v>82</v>
      </c>
      <c r="E55" s="8" t="s">
        <v>23</v>
      </c>
      <c r="F55" s="8" t="s">
        <v>220</v>
      </c>
      <c r="G55" s="8" t="s">
        <v>221</v>
      </c>
      <c r="H55" s="7" t="s">
        <v>58</v>
      </c>
      <c r="I55" s="7" t="s">
        <v>26</v>
      </c>
      <c r="J55" s="10" t="s">
        <v>222</v>
      </c>
      <c r="K55" s="11"/>
      <c r="L55" s="11"/>
      <c r="M55" s="11"/>
      <c r="N55" s="11"/>
      <c r="O55" s="11"/>
      <c r="P55" s="11"/>
      <c r="Q55" s="11"/>
      <c r="R55" s="7"/>
      <c r="S55" s="7"/>
      <c r="T55" s="12"/>
      <c r="U55" s="12">
        <f>VLOOKUP(B55,'[1]Carreras 2027'!$B:$AT,45,FALSE)</f>
        <v>500</v>
      </c>
      <c r="V55" t="s">
        <v>223</v>
      </c>
    </row>
    <row r="56" spans="1:22" x14ac:dyDescent="0.3">
      <c r="A56" s="6" t="s">
        <v>224</v>
      </c>
      <c r="B56" s="15">
        <v>41153</v>
      </c>
      <c r="C56" s="8" t="s">
        <v>21</v>
      </c>
      <c r="D56" s="8" t="s">
        <v>82</v>
      </c>
      <c r="E56" s="8" t="s">
        <v>23</v>
      </c>
      <c r="F56" s="8" t="str">
        <f>MID(G56,1,9)</f>
        <v>UNAB11303</v>
      </c>
      <c r="G56" s="9" t="s">
        <v>107</v>
      </c>
      <c r="H56" s="7" t="s">
        <v>25</v>
      </c>
      <c r="I56" s="7" t="s">
        <v>26</v>
      </c>
      <c r="J56" s="10" t="s">
        <v>225</v>
      </c>
      <c r="K56" s="11">
        <v>0.1</v>
      </c>
      <c r="L56" s="11">
        <v>0.35</v>
      </c>
      <c r="M56" s="11">
        <v>0.1</v>
      </c>
      <c r="N56" s="11">
        <v>0.3</v>
      </c>
      <c r="O56" s="11">
        <v>0.05</v>
      </c>
      <c r="P56" s="11"/>
      <c r="Q56" s="11">
        <v>0.1</v>
      </c>
      <c r="R56" s="7">
        <v>0</v>
      </c>
      <c r="S56" s="7">
        <v>458</v>
      </c>
      <c r="T56" s="12">
        <v>450</v>
      </c>
      <c r="U56" s="12">
        <f>VLOOKUP(B56,'[1]Carreras 2027'!$B:$AT,45,FALSE)</f>
        <v>500</v>
      </c>
      <c r="V56" t="s">
        <v>226</v>
      </c>
    </row>
    <row r="57" spans="1:22" x14ac:dyDescent="0.3">
      <c r="A57" s="6" t="s">
        <v>227</v>
      </c>
      <c r="B57" s="7">
        <v>41130</v>
      </c>
      <c r="C57" s="8" t="s">
        <v>31</v>
      </c>
      <c r="D57" s="8" t="s">
        <v>82</v>
      </c>
      <c r="E57" s="8" t="s">
        <v>23</v>
      </c>
      <c r="F57" s="8" t="str">
        <f>MID(G57,1,9)</f>
        <v>UNAB11303</v>
      </c>
      <c r="G57" s="9" t="s">
        <v>56</v>
      </c>
      <c r="H57" s="7" t="s">
        <v>33</v>
      </c>
      <c r="I57" s="7" t="s">
        <v>26</v>
      </c>
      <c r="J57" s="10" t="s">
        <v>225</v>
      </c>
      <c r="K57" s="11">
        <v>0.1</v>
      </c>
      <c r="L57" s="11">
        <v>0.35</v>
      </c>
      <c r="M57" s="11">
        <v>0.1</v>
      </c>
      <c r="N57" s="11">
        <v>0.3</v>
      </c>
      <c r="O57" s="11">
        <v>0.05</v>
      </c>
      <c r="P57" s="11" t="s">
        <v>28</v>
      </c>
      <c r="Q57" s="11">
        <v>0.1</v>
      </c>
      <c r="R57" s="7">
        <v>0</v>
      </c>
      <c r="S57" s="7">
        <v>458</v>
      </c>
      <c r="T57" s="16">
        <v>451</v>
      </c>
      <c r="U57" s="12">
        <f>VLOOKUP(B57,'[1]Carreras 2027'!$B:$AT,45,FALSE)</f>
        <v>500</v>
      </c>
      <c r="V57" t="s">
        <v>228</v>
      </c>
    </row>
    <row r="58" spans="1:22" x14ac:dyDescent="0.3">
      <c r="A58" s="6" t="s">
        <v>229</v>
      </c>
      <c r="B58" s="7">
        <v>41134</v>
      </c>
      <c r="C58" s="10" t="s">
        <v>36</v>
      </c>
      <c r="D58" s="10" t="s">
        <v>82</v>
      </c>
      <c r="E58" s="10" t="s">
        <v>23</v>
      </c>
      <c r="F58" s="8" t="str">
        <f>MID(G58,1,9)</f>
        <v>UNAB11303</v>
      </c>
      <c r="G58" s="9" t="s">
        <v>81</v>
      </c>
      <c r="H58" s="7" t="s">
        <v>38</v>
      </c>
      <c r="I58" s="7" t="s">
        <v>26</v>
      </c>
      <c r="J58" s="10" t="s">
        <v>225</v>
      </c>
      <c r="K58" s="11">
        <v>0.1</v>
      </c>
      <c r="L58" s="11">
        <v>0.35</v>
      </c>
      <c r="M58" s="11">
        <v>0.1</v>
      </c>
      <c r="N58" s="11">
        <v>0.3</v>
      </c>
      <c r="O58" s="11">
        <v>0.05</v>
      </c>
      <c r="P58" s="11" t="s">
        <v>28</v>
      </c>
      <c r="Q58" s="11">
        <v>0.1</v>
      </c>
      <c r="R58" s="19">
        <v>0</v>
      </c>
      <c r="S58" s="7">
        <v>458</v>
      </c>
      <c r="T58" s="12">
        <v>450</v>
      </c>
      <c r="U58" s="12">
        <f>VLOOKUP(B58,'[1]Carreras 2027'!$B:$AT,45,FALSE)</f>
        <v>500</v>
      </c>
      <c r="V58" t="s">
        <v>230</v>
      </c>
    </row>
    <row r="59" spans="1:22" x14ac:dyDescent="0.3">
      <c r="A59" s="23" t="s">
        <v>186</v>
      </c>
      <c r="B59" s="7">
        <v>41046</v>
      </c>
      <c r="C59" s="8" t="s">
        <v>31</v>
      </c>
      <c r="D59" s="8" t="s">
        <v>82</v>
      </c>
      <c r="E59" s="8" t="s">
        <v>23</v>
      </c>
      <c r="F59" s="8" t="str">
        <f>MID(G59,1,9)</f>
        <v>UNAB12100</v>
      </c>
      <c r="G59" s="9" t="s">
        <v>125</v>
      </c>
      <c r="H59" s="7" t="s">
        <v>213</v>
      </c>
      <c r="I59" s="7" t="s">
        <v>26</v>
      </c>
      <c r="J59" s="10" t="s">
        <v>231</v>
      </c>
      <c r="K59" s="11">
        <v>0.2</v>
      </c>
      <c r="L59" s="11">
        <v>0.25</v>
      </c>
      <c r="M59" s="11">
        <v>0.1</v>
      </c>
      <c r="N59" s="11">
        <v>0.3</v>
      </c>
      <c r="O59" s="11">
        <v>0.05</v>
      </c>
      <c r="P59" s="11" t="s">
        <v>28</v>
      </c>
      <c r="Q59" s="11">
        <v>0.1</v>
      </c>
      <c r="R59" s="7">
        <v>0</v>
      </c>
      <c r="S59" s="7">
        <v>458</v>
      </c>
      <c r="T59" s="12">
        <v>450</v>
      </c>
      <c r="U59" s="12">
        <f>VLOOKUP(B59,'[1]Carreras 2027'!$B:$AT,45,FALSE)</f>
        <v>500</v>
      </c>
      <c r="V59" t="s">
        <v>232</v>
      </c>
    </row>
    <row r="60" spans="1:22" x14ac:dyDescent="0.3">
      <c r="A60" s="6" t="s">
        <v>233</v>
      </c>
      <c r="B60" s="7">
        <v>41206</v>
      </c>
      <c r="C60" s="8" t="s">
        <v>31</v>
      </c>
      <c r="D60" s="8" t="s">
        <v>82</v>
      </c>
      <c r="E60" s="8" t="s">
        <v>23</v>
      </c>
      <c r="F60" s="8" t="s">
        <v>234</v>
      </c>
      <c r="G60" s="9" t="s">
        <v>235</v>
      </c>
      <c r="H60" s="7" t="s">
        <v>58</v>
      </c>
      <c r="I60" s="7" t="s">
        <v>26</v>
      </c>
      <c r="J60" s="14" t="s">
        <v>231</v>
      </c>
      <c r="K60" s="11">
        <v>0.2</v>
      </c>
      <c r="L60" s="11">
        <v>0.25</v>
      </c>
      <c r="M60" s="11">
        <v>0.1</v>
      </c>
      <c r="N60" s="11">
        <v>0.3</v>
      </c>
      <c r="O60" s="11">
        <v>0.05</v>
      </c>
      <c r="P60" s="11" t="s">
        <v>28</v>
      </c>
      <c r="Q60" s="11">
        <v>0.1</v>
      </c>
      <c r="R60" s="7">
        <v>0</v>
      </c>
      <c r="S60" s="7">
        <v>458</v>
      </c>
      <c r="T60" s="16">
        <v>514</v>
      </c>
      <c r="U60" s="12">
        <f>VLOOKUP(B60,'[1]Carreras 2027'!$B:$AT,45,FALSE)</f>
        <v>500</v>
      </c>
      <c r="V60" t="s">
        <v>232</v>
      </c>
    </row>
    <row r="61" spans="1:22" x14ac:dyDescent="0.3">
      <c r="A61" s="6" t="s">
        <v>236</v>
      </c>
      <c r="B61" s="7">
        <v>41121</v>
      </c>
      <c r="C61" s="8" t="s">
        <v>21</v>
      </c>
      <c r="D61" s="8" t="s">
        <v>82</v>
      </c>
      <c r="E61" s="8" t="s">
        <v>23</v>
      </c>
      <c r="F61" s="8" t="str">
        <f t="shared" ref="F61:F89" si="4">MID(G61,1,9)</f>
        <v>UNAB12100</v>
      </c>
      <c r="G61" s="9" t="s">
        <v>152</v>
      </c>
      <c r="H61" s="7" t="s">
        <v>25</v>
      </c>
      <c r="I61" s="7" t="s">
        <v>26</v>
      </c>
      <c r="J61" s="10" t="s">
        <v>231</v>
      </c>
      <c r="K61" s="11">
        <v>0.2</v>
      </c>
      <c r="L61" s="11">
        <v>0.25</v>
      </c>
      <c r="M61" s="11">
        <v>0.1</v>
      </c>
      <c r="N61" s="11">
        <v>0.3</v>
      </c>
      <c r="O61" s="11">
        <v>0.05</v>
      </c>
      <c r="P61" s="11" t="s">
        <v>28</v>
      </c>
      <c r="Q61" s="11">
        <v>0.1</v>
      </c>
      <c r="R61" s="7">
        <v>0</v>
      </c>
      <c r="S61" s="7">
        <v>458</v>
      </c>
      <c r="T61" s="16">
        <v>520</v>
      </c>
      <c r="U61" s="12">
        <f>VLOOKUP(B61,'[1]Carreras 2027'!$B:$AT,45,FALSE)</f>
        <v>500</v>
      </c>
      <c r="V61" t="s">
        <v>237</v>
      </c>
    </row>
    <row r="62" spans="1:22" x14ac:dyDescent="0.3">
      <c r="A62" s="6" t="s">
        <v>238</v>
      </c>
      <c r="B62" s="7">
        <v>41089</v>
      </c>
      <c r="C62" s="8" t="s">
        <v>36</v>
      </c>
      <c r="D62" s="8" t="s">
        <v>82</v>
      </c>
      <c r="E62" s="8" t="s">
        <v>23</v>
      </c>
      <c r="F62" s="8" t="str">
        <f t="shared" si="4"/>
        <v>UNAB12100</v>
      </c>
      <c r="G62" s="9" t="s">
        <v>177</v>
      </c>
      <c r="H62" s="7" t="s">
        <v>38</v>
      </c>
      <c r="I62" s="7" t="s">
        <v>26</v>
      </c>
      <c r="J62" s="10" t="s">
        <v>231</v>
      </c>
      <c r="K62" s="11">
        <v>0.2</v>
      </c>
      <c r="L62" s="11">
        <v>0.25</v>
      </c>
      <c r="M62" s="11">
        <v>0.1</v>
      </c>
      <c r="N62" s="11">
        <v>0.3</v>
      </c>
      <c r="O62" s="11">
        <v>0.05</v>
      </c>
      <c r="P62" s="11" t="s">
        <v>28</v>
      </c>
      <c r="Q62" s="11">
        <v>0.1</v>
      </c>
      <c r="R62" s="7">
        <v>0</v>
      </c>
      <c r="S62" s="7">
        <v>458</v>
      </c>
      <c r="T62" s="12">
        <v>450</v>
      </c>
      <c r="U62" s="12">
        <f>VLOOKUP(B62,'[1]Carreras 2027'!$B:$AT,45,FALSE)</f>
        <v>500</v>
      </c>
      <c r="V62" t="s">
        <v>239</v>
      </c>
    </row>
    <row r="63" spans="1:22" x14ac:dyDescent="0.3">
      <c r="A63" s="6" t="s">
        <v>240</v>
      </c>
      <c r="B63" s="7">
        <v>41190</v>
      </c>
      <c r="C63" s="8" t="s">
        <v>31</v>
      </c>
      <c r="D63" s="8" t="s">
        <v>82</v>
      </c>
      <c r="E63" s="8" t="s">
        <v>241</v>
      </c>
      <c r="F63" s="8" t="str">
        <f t="shared" si="4"/>
        <v>UNAB37044</v>
      </c>
      <c r="G63" s="9" t="s">
        <v>242</v>
      </c>
      <c r="H63" s="7" t="s">
        <v>243</v>
      </c>
      <c r="I63" s="7" t="s">
        <v>99</v>
      </c>
      <c r="J63" s="10" t="s">
        <v>244</v>
      </c>
      <c r="K63" s="11">
        <v>0.2</v>
      </c>
      <c r="L63" s="11">
        <v>0.3</v>
      </c>
      <c r="M63" s="11">
        <v>0.1</v>
      </c>
      <c r="N63" s="11">
        <v>0.3</v>
      </c>
      <c r="O63" s="11"/>
      <c r="P63" s="11">
        <v>0.1</v>
      </c>
      <c r="Q63" s="11">
        <v>0.1</v>
      </c>
      <c r="R63" s="7">
        <v>0</v>
      </c>
      <c r="S63" s="7">
        <v>458</v>
      </c>
      <c r="T63" s="12">
        <v>450</v>
      </c>
      <c r="U63" s="12">
        <f>VLOOKUP(B63,'[1]Carreras 2027'!$B:$AT,45,FALSE)</f>
        <v>500</v>
      </c>
      <c r="V63" t="s">
        <v>245</v>
      </c>
    </row>
    <row r="64" spans="1:22" x14ac:dyDescent="0.3">
      <c r="A64" s="6" t="s">
        <v>189</v>
      </c>
      <c r="B64" s="7">
        <v>41045</v>
      </c>
      <c r="C64" s="8" t="s">
        <v>31</v>
      </c>
      <c r="D64" s="8" t="s">
        <v>82</v>
      </c>
      <c r="E64" s="8" t="s">
        <v>23</v>
      </c>
      <c r="F64" s="8" t="str">
        <f t="shared" si="4"/>
        <v>UNAB12210</v>
      </c>
      <c r="G64" s="9" t="s">
        <v>246</v>
      </c>
      <c r="H64" s="7" t="s">
        <v>213</v>
      </c>
      <c r="I64" s="7" t="s">
        <v>26</v>
      </c>
      <c r="J64" s="10" t="s">
        <v>247</v>
      </c>
      <c r="K64" s="11">
        <v>0.3</v>
      </c>
      <c r="L64" s="11">
        <v>0.1</v>
      </c>
      <c r="M64" s="11">
        <v>0.1</v>
      </c>
      <c r="N64" s="11">
        <v>0.35</v>
      </c>
      <c r="O64" s="11">
        <v>0.05</v>
      </c>
      <c r="P64" s="11" t="s">
        <v>28</v>
      </c>
      <c r="Q64" s="11">
        <v>0.1</v>
      </c>
      <c r="R64" s="7">
        <v>0</v>
      </c>
      <c r="S64" s="7">
        <v>458</v>
      </c>
      <c r="T64" s="12">
        <v>450</v>
      </c>
      <c r="U64" s="12">
        <f>VLOOKUP(B64,'[1]Carreras 2027'!$B:$AT,45,FALSE)</f>
        <v>500</v>
      </c>
      <c r="V64" t="s">
        <v>248</v>
      </c>
    </row>
    <row r="65" spans="1:22" x14ac:dyDescent="0.3">
      <c r="A65" s="15" t="s">
        <v>242</v>
      </c>
      <c r="B65" s="7">
        <v>41207</v>
      </c>
      <c r="C65" s="8" t="s">
        <v>31</v>
      </c>
      <c r="D65" s="8" t="s">
        <v>82</v>
      </c>
      <c r="E65" s="8" t="s">
        <v>23</v>
      </c>
      <c r="F65" s="8" t="str">
        <f t="shared" si="4"/>
        <v>UNAB12210</v>
      </c>
      <c r="G65" s="9" t="s">
        <v>249</v>
      </c>
      <c r="H65" s="7" t="s">
        <v>58</v>
      </c>
      <c r="I65" s="7" t="s">
        <v>26</v>
      </c>
      <c r="J65" s="14" t="s">
        <v>247</v>
      </c>
      <c r="K65" s="11">
        <v>0.3</v>
      </c>
      <c r="L65" s="11">
        <v>0.1</v>
      </c>
      <c r="M65" s="11">
        <v>0.1</v>
      </c>
      <c r="N65" s="11">
        <v>0.35</v>
      </c>
      <c r="O65" s="11">
        <v>0.05</v>
      </c>
      <c r="P65" s="11" t="s">
        <v>28</v>
      </c>
      <c r="Q65" s="11">
        <v>0.1</v>
      </c>
      <c r="R65" s="7">
        <v>0</v>
      </c>
      <c r="S65" s="7">
        <v>458</v>
      </c>
      <c r="T65" s="16">
        <v>460</v>
      </c>
      <c r="U65" s="12">
        <f>VLOOKUP(B65,'[1]Carreras 2027'!$B:$AT,45,FALSE)</f>
        <v>500</v>
      </c>
      <c r="V65" t="s">
        <v>248</v>
      </c>
    </row>
    <row r="66" spans="1:22" x14ac:dyDescent="0.3">
      <c r="A66" s="6" t="s">
        <v>250</v>
      </c>
      <c r="B66" s="7">
        <v>41208</v>
      </c>
      <c r="C66" s="8" t="s">
        <v>21</v>
      </c>
      <c r="D66" s="8" t="s">
        <v>82</v>
      </c>
      <c r="E66" s="8" t="s">
        <v>23</v>
      </c>
      <c r="F66" s="8" t="str">
        <f t="shared" si="4"/>
        <v>UNAB12210</v>
      </c>
      <c r="G66" s="9" t="s">
        <v>251</v>
      </c>
      <c r="H66" s="7" t="s">
        <v>25</v>
      </c>
      <c r="I66" s="7" t="s">
        <v>26</v>
      </c>
      <c r="J66" s="10" t="s">
        <v>247</v>
      </c>
      <c r="K66" s="11">
        <v>0.3</v>
      </c>
      <c r="L66" s="11">
        <v>0.1</v>
      </c>
      <c r="M66" s="11">
        <v>0.1</v>
      </c>
      <c r="N66" s="11">
        <v>0.35</v>
      </c>
      <c r="O66" s="11">
        <v>0.05</v>
      </c>
      <c r="P66" s="11" t="s">
        <v>28</v>
      </c>
      <c r="Q66" s="11">
        <v>0.1</v>
      </c>
      <c r="R66" s="7">
        <v>0</v>
      </c>
      <c r="S66" s="7">
        <v>458</v>
      </c>
      <c r="T66" s="12">
        <v>450</v>
      </c>
      <c r="U66" s="12">
        <f>VLOOKUP(B66,'[1]Carreras 2027'!$B:$AT,45,FALSE)</f>
        <v>500</v>
      </c>
      <c r="V66" t="s">
        <v>252</v>
      </c>
    </row>
    <row r="67" spans="1:22" x14ac:dyDescent="0.3">
      <c r="A67" s="6" t="s">
        <v>253</v>
      </c>
      <c r="B67" s="7">
        <v>41162</v>
      </c>
      <c r="C67" s="8" t="s">
        <v>36</v>
      </c>
      <c r="D67" s="8" t="s">
        <v>82</v>
      </c>
      <c r="E67" s="8" t="s">
        <v>23</v>
      </c>
      <c r="F67" s="8" t="str">
        <f t="shared" si="4"/>
        <v>UNAB12210</v>
      </c>
      <c r="G67" s="9" t="s">
        <v>254</v>
      </c>
      <c r="H67" s="7" t="s">
        <v>38</v>
      </c>
      <c r="I67" s="7" t="s">
        <v>26</v>
      </c>
      <c r="J67" s="10" t="s">
        <v>247</v>
      </c>
      <c r="K67" s="11">
        <v>0.3</v>
      </c>
      <c r="L67" s="11">
        <v>0.1</v>
      </c>
      <c r="M67" s="11">
        <v>0.1</v>
      </c>
      <c r="N67" s="11">
        <v>0.35</v>
      </c>
      <c r="O67" s="11">
        <v>0.05</v>
      </c>
      <c r="P67" s="11" t="s">
        <v>28</v>
      </c>
      <c r="Q67" s="11">
        <v>0.1</v>
      </c>
      <c r="R67" s="7">
        <v>0</v>
      </c>
      <c r="S67" s="7">
        <v>458</v>
      </c>
      <c r="T67" s="12">
        <v>450</v>
      </c>
      <c r="U67" s="12">
        <f>VLOOKUP(B67,'[1]Carreras 2027'!$B:$AT,45,FALSE)</f>
        <v>500</v>
      </c>
      <c r="V67" t="s">
        <v>255</v>
      </c>
    </row>
    <row r="68" spans="1:22" x14ac:dyDescent="0.3">
      <c r="A68" s="18" t="s">
        <v>37</v>
      </c>
      <c r="B68" s="7">
        <v>41028</v>
      </c>
      <c r="C68" s="8" t="s">
        <v>31</v>
      </c>
      <c r="D68" s="8" t="s">
        <v>88</v>
      </c>
      <c r="E68" s="8" t="s">
        <v>23</v>
      </c>
      <c r="F68" s="8" t="str">
        <f t="shared" si="4"/>
        <v>UNAB11600</v>
      </c>
      <c r="G68" s="9" t="s">
        <v>256</v>
      </c>
      <c r="H68" s="7" t="s">
        <v>58</v>
      </c>
      <c r="I68" s="7" t="s">
        <v>26</v>
      </c>
      <c r="J68" s="14" t="s">
        <v>257</v>
      </c>
      <c r="K68" s="11">
        <v>0.1</v>
      </c>
      <c r="L68" s="11">
        <v>0.4</v>
      </c>
      <c r="M68" s="11">
        <v>0.1</v>
      </c>
      <c r="N68" s="11">
        <v>0.3</v>
      </c>
      <c r="O68" s="11" t="s">
        <v>28</v>
      </c>
      <c r="P68" s="11">
        <v>0.1</v>
      </c>
      <c r="Q68" s="11">
        <v>0.1</v>
      </c>
      <c r="R68" s="7">
        <v>0</v>
      </c>
      <c r="S68" s="7">
        <v>458</v>
      </c>
      <c r="T68" s="12">
        <v>450</v>
      </c>
      <c r="U68" s="12">
        <f>VLOOKUP(B68,'[1]Carreras 2027'!$B:$AT,45,FALSE)</f>
        <v>450</v>
      </c>
      <c r="V68" t="s">
        <v>258</v>
      </c>
    </row>
    <row r="69" spans="1:22" x14ac:dyDescent="0.3">
      <c r="A69" s="28" t="s">
        <v>217</v>
      </c>
      <c r="B69" s="7">
        <v>41129</v>
      </c>
      <c r="C69" s="8" t="s">
        <v>31</v>
      </c>
      <c r="D69" s="8" t="s">
        <v>88</v>
      </c>
      <c r="E69" s="8" t="s">
        <v>23</v>
      </c>
      <c r="F69" s="8" t="str">
        <f t="shared" si="4"/>
        <v>UNAB11600</v>
      </c>
      <c r="G69" s="9" t="s">
        <v>259</v>
      </c>
      <c r="H69" s="7" t="s">
        <v>105</v>
      </c>
      <c r="I69" s="7" t="s">
        <v>26</v>
      </c>
      <c r="J69" s="10" t="s">
        <v>257</v>
      </c>
      <c r="K69" s="11">
        <v>0.1</v>
      </c>
      <c r="L69" s="11">
        <v>0.4</v>
      </c>
      <c r="M69" s="11">
        <v>0.1</v>
      </c>
      <c r="N69" s="11">
        <v>0.3</v>
      </c>
      <c r="O69" s="11" t="s">
        <v>28</v>
      </c>
      <c r="P69" s="11">
        <v>0.1</v>
      </c>
      <c r="Q69" s="11">
        <v>0.1</v>
      </c>
      <c r="R69" s="7">
        <v>0</v>
      </c>
      <c r="S69" s="7">
        <v>458</v>
      </c>
      <c r="T69" s="12">
        <v>450</v>
      </c>
      <c r="U69" s="12">
        <f>VLOOKUP(B69,'[1]Carreras 2027'!$B:$AT,45,FALSE)</f>
        <v>450</v>
      </c>
      <c r="V69" t="s">
        <v>258</v>
      </c>
    </row>
    <row r="70" spans="1:22" x14ac:dyDescent="0.3">
      <c r="A70" s="15" t="s">
        <v>260</v>
      </c>
      <c r="B70" s="7">
        <v>41109</v>
      </c>
      <c r="C70" s="8" t="s">
        <v>21</v>
      </c>
      <c r="D70" s="8" t="s">
        <v>88</v>
      </c>
      <c r="E70" s="8" t="s">
        <v>23</v>
      </c>
      <c r="F70" s="8" t="str">
        <f t="shared" si="4"/>
        <v>UNAB11600</v>
      </c>
      <c r="G70" s="9" t="s">
        <v>261</v>
      </c>
      <c r="H70" s="7" t="s">
        <v>25</v>
      </c>
      <c r="I70" s="7" t="s">
        <v>26</v>
      </c>
      <c r="J70" s="10" t="s">
        <v>257</v>
      </c>
      <c r="K70" s="11">
        <v>0.1</v>
      </c>
      <c r="L70" s="11">
        <v>0.4</v>
      </c>
      <c r="M70" s="11">
        <v>0.1</v>
      </c>
      <c r="N70" s="11">
        <v>0.3</v>
      </c>
      <c r="O70" s="11" t="s">
        <v>28</v>
      </c>
      <c r="P70" s="11">
        <v>0.1</v>
      </c>
      <c r="Q70" s="11">
        <v>0.1</v>
      </c>
      <c r="R70" s="7">
        <v>0</v>
      </c>
      <c r="S70" s="7">
        <v>458</v>
      </c>
      <c r="T70" s="12">
        <v>450</v>
      </c>
      <c r="U70" s="12">
        <f>VLOOKUP(B70,'[1]Carreras 2027'!$B:$AT,45,FALSE)</f>
        <v>450</v>
      </c>
      <c r="V70" t="s">
        <v>262</v>
      </c>
    </row>
    <row r="71" spans="1:22" x14ac:dyDescent="0.3">
      <c r="A71" s="6" t="s">
        <v>263</v>
      </c>
      <c r="B71" s="7">
        <v>41076</v>
      </c>
      <c r="C71" s="8" t="s">
        <v>36</v>
      </c>
      <c r="D71" s="8" t="s">
        <v>88</v>
      </c>
      <c r="E71" s="8" t="s">
        <v>23</v>
      </c>
      <c r="F71" s="8" t="str">
        <f t="shared" si="4"/>
        <v>UNAB11600</v>
      </c>
      <c r="G71" s="9" t="s">
        <v>264</v>
      </c>
      <c r="H71" s="7" t="s">
        <v>38</v>
      </c>
      <c r="I71" s="7" t="s">
        <v>26</v>
      </c>
      <c r="J71" s="10" t="s">
        <v>257</v>
      </c>
      <c r="K71" s="11">
        <v>0.1</v>
      </c>
      <c r="L71" s="11">
        <v>0.4</v>
      </c>
      <c r="M71" s="11">
        <v>0.1</v>
      </c>
      <c r="N71" s="11">
        <v>0.3</v>
      </c>
      <c r="O71" s="11" t="s">
        <v>28</v>
      </c>
      <c r="P71" s="11">
        <v>0.1</v>
      </c>
      <c r="Q71" s="11">
        <v>0.1</v>
      </c>
      <c r="R71" s="7">
        <v>0</v>
      </c>
      <c r="S71" s="7">
        <v>458</v>
      </c>
      <c r="T71" s="16">
        <v>478</v>
      </c>
      <c r="U71" s="12">
        <f>VLOOKUP(B71,'[1]Carreras 2027'!$B:$AT,45,FALSE)</f>
        <v>450</v>
      </c>
      <c r="V71" t="s">
        <v>265</v>
      </c>
    </row>
    <row r="72" spans="1:22" x14ac:dyDescent="0.3">
      <c r="A72" s="6" t="s">
        <v>212</v>
      </c>
      <c r="B72" s="7">
        <v>41176</v>
      </c>
      <c r="C72" s="8" t="s">
        <v>31</v>
      </c>
      <c r="D72" s="8" t="s">
        <v>88</v>
      </c>
      <c r="E72" s="8" t="s">
        <v>97</v>
      </c>
      <c r="F72" s="8" t="str">
        <f t="shared" si="4"/>
        <v>UNAB21600</v>
      </c>
      <c r="G72" s="9" t="s">
        <v>266</v>
      </c>
      <c r="H72" s="7" t="s">
        <v>105</v>
      </c>
      <c r="I72" s="7" t="s">
        <v>99</v>
      </c>
      <c r="J72" s="10" t="s">
        <v>267</v>
      </c>
      <c r="K72" s="11">
        <v>0.1</v>
      </c>
      <c r="L72" s="11">
        <v>0.4</v>
      </c>
      <c r="M72" s="11">
        <v>0.1</v>
      </c>
      <c r="N72" s="11">
        <v>0.3</v>
      </c>
      <c r="O72" s="11" t="s">
        <v>28</v>
      </c>
      <c r="P72" s="11">
        <v>0.1</v>
      </c>
      <c r="Q72" s="11">
        <v>0.1</v>
      </c>
      <c r="R72" s="7">
        <v>0</v>
      </c>
      <c r="S72" s="7">
        <v>458</v>
      </c>
      <c r="T72" s="12">
        <v>450</v>
      </c>
      <c r="U72" s="12">
        <f>VLOOKUP(B72,'[1]Carreras 2027'!$B:$AT,45,FALSE)</f>
        <v>450</v>
      </c>
      <c r="V72" t="s">
        <v>268</v>
      </c>
    </row>
    <row r="73" spans="1:22" x14ac:dyDescent="0.3">
      <c r="A73" s="6" t="s">
        <v>269</v>
      </c>
      <c r="B73" s="7">
        <v>41029</v>
      </c>
      <c r="C73" s="8" t="s">
        <v>31</v>
      </c>
      <c r="D73" s="8" t="s">
        <v>88</v>
      </c>
      <c r="E73" s="8" t="s">
        <v>23</v>
      </c>
      <c r="F73" s="8" t="str">
        <f t="shared" si="4"/>
        <v>UNAB12410</v>
      </c>
      <c r="G73" s="9" t="s">
        <v>240</v>
      </c>
      <c r="H73" s="7" t="s">
        <v>90</v>
      </c>
      <c r="I73" s="7" t="s">
        <v>26</v>
      </c>
      <c r="J73" s="10" t="s">
        <v>270</v>
      </c>
      <c r="K73" s="11">
        <v>0.1</v>
      </c>
      <c r="L73" s="11">
        <v>0.4</v>
      </c>
      <c r="M73" s="11">
        <v>0.1</v>
      </c>
      <c r="N73" s="11">
        <v>0.3</v>
      </c>
      <c r="O73" s="11" t="s">
        <v>28</v>
      </c>
      <c r="P73" s="11">
        <v>0.1</v>
      </c>
      <c r="Q73" s="11">
        <v>0.1</v>
      </c>
      <c r="R73" s="7">
        <v>0</v>
      </c>
      <c r="S73" s="7">
        <v>458</v>
      </c>
      <c r="T73" s="12">
        <v>450</v>
      </c>
      <c r="U73" s="12">
        <f>VLOOKUP(B73,'[1]Carreras 2027'!$B:$AT,45,FALSE)</f>
        <v>450</v>
      </c>
      <c r="V73" t="s">
        <v>271</v>
      </c>
    </row>
    <row r="74" spans="1:22" x14ac:dyDescent="0.3">
      <c r="A74" s="6" t="s">
        <v>272</v>
      </c>
      <c r="B74" s="7">
        <v>41077</v>
      </c>
      <c r="C74" s="8" t="s">
        <v>36</v>
      </c>
      <c r="D74" s="8" t="s">
        <v>88</v>
      </c>
      <c r="E74" s="8" t="s">
        <v>23</v>
      </c>
      <c r="F74" s="8" t="str">
        <f t="shared" si="4"/>
        <v>UNAB12410</v>
      </c>
      <c r="G74" s="9" t="s">
        <v>273</v>
      </c>
      <c r="H74" s="7" t="s">
        <v>38</v>
      </c>
      <c r="I74" s="7" t="s">
        <v>26</v>
      </c>
      <c r="J74" s="10" t="s">
        <v>270</v>
      </c>
      <c r="K74" s="11">
        <v>0.1</v>
      </c>
      <c r="L74" s="11">
        <v>0.4</v>
      </c>
      <c r="M74" s="11">
        <v>0.1</v>
      </c>
      <c r="N74" s="11">
        <v>0.3</v>
      </c>
      <c r="O74" s="11" t="s">
        <v>28</v>
      </c>
      <c r="P74" s="11">
        <v>0.1</v>
      </c>
      <c r="Q74" s="11">
        <v>0.1</v>
      </c>
      <c r="R74" s="7">
        <v>0</v>
      </c>
      <c r="S74" s="7">
        <v>458</v>
      </c>
      <c r="T74" s="12">
        <v>468</v>
      </c>
      <c r="U74" s="12">
        <f>VLOOKUP(B74,'[1]Carreras 2027'!$B:$AT,45,FALSE)</f>
        <v>450</v>
      </c>
      <c r="V74" t="s">
        <v>274</v>
      </c>
    </row>
    <row r="75" spans="1:22" x14ac:dyDescent="0.3">
      <c r="A75" s="6" t="s">
        <v>275</v>
      </c>
      <c r="B75" s="7">
        <v>41174</v>
      </c>
      <c r="C75" s="8" t="s">
        <v>31</v>
      </c>
      <c r="D75" s="8" t="s">
        <v>88</v>
      </c>
      <c r="E75" s="8" t="s">
        <v>97</v>
      </c>
      <c r="F75" s="8" t="str">
        <f t="shared" si="4"/>
        <v>UNAB22410</v>
      </c>
      <c r="G75" s="9" t="s">
        <v>276</v>
      </c>
      <c r="H75" s="7" t="s">
        <v>90</v>
      </c>
      <c r="I75" s="7" t="s">
        <v>99</v>
      </c>
      <c r="J75" s="10" t="s">
        <v>277</v>
      </c>
      <c r="K75" s="11">
        <v>0.1</v>
      </c>
      <c r="L75" s="11">
        <v>0.4</v>
      </c>
      <c r="M75" s="11">
        <v>0.1</v>
      </c>
      <c r="N75" s="11">
        <v>0.3</v>
      </c>
      <c r="O75" s="11" t="s">
        <v>28</v>
      </c>
      <c r="P75" s="11">
        <v>0.1</v>
      </c>
      <c r="Q75" s="11">
        <v>0.1</v>
      </c>
      <c r="R75" s="7">
        <v>0</v>
      </c>
      <c r="S75" s="7">
        <v>458</v>
      </c>
      <c r="T75" s="12">
        <v>450</v>
      </c>
      <c r="U75" s="12">
        <f>VLOOKUP(B75,'[1]Carreras 2027'!$B:$AT,45,FALSE)</f>
        <v>450</v>
      </c>
      <c r="V75" t="s">
        <v>278</v>
      </c>
    </row>
    <row r="76" spans="1:22" x14ac:dyDescent="0.3">
      <c r="A76" s="6"/>
      <c r="B76" s="7">
        <v>41177</v>
      </c>
      <c r="C76" s="8" t="s">
        <v>36</v>
      </c>
      <c r="D76" s="8" t="s">
        <v>88</v>
      </c>
      <c r="E76" s="8" t="s">
        <v>97</v>
      </c>
      <c r="F76" s="8" t="str">
        <f t="shared" si="4"/>
        <v>UNAB22410</v>
      </c>
      <c r="G76" s="9" t="s">
        <v>40</v>
      </c>
      <c r="H76" s="7" t="s">
        <v>38</v>
      </c>
      <c r="I76" s="7" t="s">
        <v>99</v>
      </c>
      <c r="J76" s="10" t="s">
        <v>277</v>
      </c>
      <c r="K76" s="11">
        <v>0.1</v>
      </c>
      <c r="L76" s="11">
        <v>0.4</v>
      </c>
      <c r="M76" s="11">
        <v>0.1</v>
      </c>
      <c r="N76" s="11">
        <v>0.3</v>
      </c>
      <c r="O76" s="11" t="s">
        <v>28</v>
      </c>
      <c r="P76" s="11">
        <v>0.1</v>
      </c>
      <c r="Q76" s="11">
        <v>0.1</v>
      </c>
      <c r="R76" s="7">
        <v>0</v>
      </c>
      <c r="S76" s="7">
        <v>458</v>
      </c>
      <c r="T76" s="12">
        <v>450</v>
      </c>
      <c r="U76" s="12">
        <f>VLOOKUP(B76,'[1]Carreras 2027'!$B:$AT,45,FALSE)</f>
        <v>450</v>
      </c>
      <c r="V76" t="s">
        <v>279</v>
      </c>
    </row>
    <row r="77" spans="1:22" x14ac:dyDescent="0.3">
      <c r="A77" s="6" t="s">
        <v>246</v>
      </c>
      <c r="B77" s="7">
        <v>41030</v>
      </c>
      <c r="C77" s="8" t="s">
        <v>31</v>
      </c>
      <c r="D77" s="8" t="s">
        <v>88</v>
      </c>
      <c r="E77" s="8" t="s">
        <v>23</v>
      </c>
      <c r="F77" s="8" t="str">
        <f t="shared" si="4"/>
        <v>UNAB19251</v>
      </c>
      <c r="G77" s="9" t="s">
        <v>52</v>
      </c>
      <c r="H77" s="7" t="s">
        <v>58</v>
      </c>
      <c r="I77" s="7" t="s">
        <v>26</v>
      </c>
      <c r="J77" s="14" t="s">
        <v>280</v>
      </c>
      <c r="K77" s="11">
        <v>0.1</v>
      </c>
      <c r="L77" s="11">
        <v>0.4</v>
      </c>
      <c r="M77" s="11">
        <v>0.1</v>
      </c>
      <c r="N77" s="11">
        <v>0.3</v>
      </c>
      <c r="O77" s="11" t="s">
        <v>28</v>
      </c>
      <c r="P77" s="11">
        <v>0.1</v>
      </c>
      <c r="Q77" s="11">
        <v>0.1</v>
      </c>
      <c r="R77" s="7">
        <v>0</v>
      </c>
      <c r="S77" s="7">
        <v>458</v>
      </c>
      <c r="T77" s="12">
        <v>450</v>
      </c>
      <c r="U77" s="12">
        <f>VLOOKUP(B77,'[1]Carreras 2027'!$B:$AT,45,FALSE)</f>
        <v>450</v>
      </c>
      <c r="V77" t="s">
        <v>281</v>
      </c>
    </row>
    <row r="78" spans="1:22" x14ac:dyDescent="0.3">
      <c r="A78" s="6" t="s">
        <v>192</v>
      </c>
      <c r="B78" s="7">
        <v>41047</v>
      </c>
      <c r="C78" s="8" t="s">
        <v>31</v>
      </c>
      <c r="D78" s="8" t="s">
        <v>82</v>
      </c>
      <c r="E78" s="8" t="s">
        <v>23</v>
      </c>
      <c r="F78" s="8" t="str">
        <f t="shared" si="4"/>
        <v>UNAB19202</v>
      </c>
      <c r="G78" s="9" t="s">
        <v>137</v>
      </c>
      <c r="H78" s="7" t="s">
        <v>213</v>
      </c>
      <c r="I78" s="7" t="s">
        <v>26</v>
      </c>
      <c r="J78" s="10" t="s">
        <v>282</v>
      </c>
      <c r="K78" s="11">
        <v>0.3</v>
      </c>
      <c r="L78" s="11">
        <v>0.1</v>
      </c>
      <c r="M78" s="11">
        <v>0.1</v>
      </c>
      <c r="N78" s="11">
        <v>0.35</v>
      </c>
      <c r="O78" s="11">
        <v>0.05</v>
      </c>
      <c r="P78" s="11">
        <v>0.1</v>
      </c>
      <c r="Q78" s="11">
        <v>0.1</v>
      </c>
      <c r="R78" s="7">
        <v>0</v>
      </c>
      <c r="S78" s="7">
        <v>458</v>
      </c>
      <c r="T78" s="12">
        <v>450</v>
      </c>
      <c r="U78" s="12">
        <f>VLOOKUP(B78,'[1]Carreras 2027'!$B:$AT,45,FALSE)</f>
        <v>450</v>
      </c>
      <c r="V78" t="s">
        <v>283</v>
      </c>
    </row>
    <row r="79" spans="1:22" x14ac:dyDescent="0.3">
      <c r="A79" s="6" t="s">
        <v>284</v>
      </c>
      <c r="B79" s="7">
        <v>41218</v>
      </c>
      <c r="C79" s="8" t="s">
        <v>21</v>
      </c>
      <c r="D79" s="8" t="s">
        <v>82</v>
      </c>
      <c r="E79" s="25" t="s">
        <v>23</v>
      </c>
      <c r="F79" s="8" t="str">
        <f t="shared" si="4"/>
        <v>UNAB19202</v>
      </c>
      <c r="G79" s="9" t="s">
        <v>144</v>
      </c>
      <c r="H79" s="7" t="s">
        <v>25</v>
      </c>
      <c r="I79" s="7" t="s">
        <v>26</v>
      </c>
      <c r="J79" s="10" t="s">
        <v>282</v>
      </c>
      <c r="K79" s="11">
        <v>0.3</v>
      </c>
      <c r="L79" s="11">
        <v>0.1</v>
      </c>
      <c r="M79" s="11">
        <v>0.1</v>
      </c>
      <c r="N79" s="11">
        <v>0.35</v>
      </c>
      <c r="O79" s="11">
        <v>0.05</v>
      </c>
      <c r="P79" s="11">
        <v>0.1</v>
      </c>
      <c r="Q79" s="11">
        <v>0.1</v>
      </c>
      <c r="R79" s="7">
        <v>0</v>
      </c>
      <c r="S79" s="7">
        <v>458</v>
      </c>
      <c r="T79" s="12">
        <v>450</v>
      </c>
      <c r="U79" s="12">
        <f>VLOOKUP(B79,'[1]Carreras 2027'!$B:$AT,45,FALSE)</f>
        <v>450</v>
      </c>
      <c r="V79" t="s">
        <v>285</v>
      </c>
    </row>
    <row r="80" spans="1:22" x14ac:dyDescent="0.3">
      <c r="A80" s="6" t="s">
        <v>164</v>
      </c>
      <c r="B80" s="7">
        <v>41187</v>
      </c>
      <c r="C80" s="8" t="s">
        <v>31</v>
      </c>
      <c r="D80" s="8" t="s">
        <v>82</v>
      </c>
      <c r="E80" s="8" t="s">
        <v>97</v>
      </c>
      <c r="F80" s="8" t="str">
        <f t="shared" si="4"/>
        <v>UNAB29202</v>
      </c>
      <c r="G80" s="9" t="s">
        <v>148</v>
      </c>
      <c r="H80" s="7" t="s">
        <v>213</v>
      </c>
      <c r="I80" s="7" t="s">
        <v>99</v>
      </c>
      <c r="J80" s="10" t="s">
        <v>286</v>
      </c>
      <c r="K80" s="11">
        <v>0.3</v>
      </c>
      <c r="L80" s="11">
        <v>0.1</v>
      </c>
      <c r="M80" s="11">
        <v>0.1</v>
      </c>
      <c r="N80" s="11">
        <v>0.4</v>
      </c>
      <c r="O80" s="21" t="s">
        <v>28</v>
      </c>
      <c r="P80" s="11">
        <v>0.1</v>
      </c>
      <c r="Q80" s="11">
        <v>0.1</v>
      </c>
      <c r="R80" s="7">
        <v>0</v>
      </c>
      <c r="S80" s="7">
        <v>458</v>
      </c>
      <c r="T80" s="12">
        <v>450</v>
      </c>
      <c r="U80" s="12">
        <f>VLOOKUP(B80,'[1]Carreras 2027'!$B:$AT,45,FALSE)</f>
        <v>450</v>
      </c>
      <c r="V80" t="s">
        <v>287</v>
      </c>
    </row>
    <row r="81" spans="1:22" x14ac:dyDescent="0.3">
      <c r="A81" s="6" t="s">
        <v>288</v>
      </c>
      <c r="B81" s="7">
        <v>41006</v>
      </c>
      <c r="C81" s="8" t="s">
        <v>31</v>
      </c>
      <c r="D81" s="8" t="s">
        <v>22</v>
      </c>
      <c r="E81" s="8" t="s">
        <v>23</v>
      </c>
      <c r="F81" s="8" t="str">
        <f t="shared" si="4"/>
        <v>UNAB19980</v>
      </c>
      <c r="G81" s="9" t="s">
        <v>289</v>
      </c>
      <c r="H81" s="7" t="s">
        <v>33</v>
      </c>
      <c r="I81" s="7" t="s">
        <v>26</v>
      </c>
      <c r="J81" s="10" t="s">
        <v>290</v>
      </c>
      <c r="K81" s="11">
        <v>0.2</v>
      </c>
      <c r="L81" s="11">
        <v>0.25</v>
      </c>
      <c r="M81" s="11">
        <v>0.1</v>
      </c>
      <c r="N81" s="11">
        <v>0.2</v>
      </c>
      <c r="O81" s="11">
        <v>0.05</v>
      </c>
      <c r="P81" s="11" t="s">
        <v>28</v>
      </c>
      <c r="Q81" s="11">
        <v>0.2</v>
      </c>
      <c r="R81" s="7">
        <v>0</v>
      </c>
      <c r="S81" s="12">
        <v>458</v>
      </c>
      <c r="T81" s="12">
        <v>450</v>
      </c>
      <c r="U81" s="12">
        <f>VLOOKUP(B81,'[1]Carreras 2027'!$B:$AT,45,FALSE)</f>
        <v>510</v>
      </c>
      <c r="V81" t="s">
        <v>291</v>
      </c>
    </row>
    <row r="82" spans="1:22" x14ac:dyDescent="0.3">
      <c r="A82" s="18" t="s">
        <v>292</v>
      </c>
      <c r="B82" s="7">
        <v>41064</v>
      </c>
      <c r="C82" s="8" t="s">
        <v>36</v>
      </c>
      <c r="D82" s="8" t="s">
        <v>22</v>
      </c>
      <c r="E82" s="8" t="s">
        <v>23</v>
      </c>
      <c r="F82" s="8" t="str">
        <f t="shared" si="4"/>
        <v>UNAB19980</v>
      </c>
      <c r="G82" s="9" t="s">
        <v>293</v>
      </c>
      <c r="H82" s="7" t="s">
        <v>38</v>
      </c>
      <c r="I82" s="7" t="s">
        <v>26</v>
      </c>
      <c r="J82" s="10" t="s">
        <v>290</v>
      </c>
      <c r="K82" s="11">
        <v>0.2</v>
      </c>
      <c r="L82" s="11">
        <v>0.25</v>
      </c>
      <c r="M82" s="11">
        <v>0.1</v>
      </c>
      <c r="N82" s="11">
        <v>0.2</v>
      </c>
      <c r="O82" s="11">
        <v>0.05</v>
      </c>
      <c r="P82" s="11" t="s">
        <v>28</v>
      </c>
      <c r="Q82" s="11">
        <v>0.2</v>
      </c>
      <c r="R82" s="7">
        <v>0</v>
      </c>
      <c r="S82" s="12">
        <v>458</v>
      </c>
      <c r="T82" s="12">
        <v>450</v>
      </c>
      <c r="U82" s="12">
        <f>VLOOKUP(B82,'[1]Carreras 2027'!$B:$AT,45,FALSE)</f>
        <v>510</v>
      </c>
      <c r="V82" t="s">
        <v>294</v>
      </c>
    </row>
    <row r="83" spans="1:22" x14ac:dyDescent="0.3">
      <c r="A83" s="6" t="s">
        <v>194</v>
      </c>
      <c r="B83" s="7">
        <v>41048</v>
      </c>
      <c r="C83" s="8" t="s">
        <v>31</v>
      </c>
      <c r="D83" s="8" t="s">
        <v>82</v>
      </c>
      <c r="E83" s="8" t="s">
        <v>23</v>
      </c>
      <c r="F83" s="8" t="str">
        <f t="shared" si="4"/>
        <v>UNAB11500</v>
      </c>
      <c r="G83" s="9" t="s">
        <v>20</v>
      </c>
      <c r="H83" s="7" t="s">
        <v>213</v>
      </c>
      <c r="I83" s="7" t="s">
        <v>26</v>
      </c>
      <c r="J83" s="10" t="s">
        <v>295</v>
      </c>
      <c r="K83" s="11">
        <v>0.3</v>
      </c>
      <c r="L83" s="11">
        <v>0.15</v>
      </c>
      <c r="M83" s="11">
        <v>0.1</v>
      </c>
      <c r="N83" s="11">
        <v>0.3</v>
      </c>
      <c r="O83" s="11">
        <v>0.05</v>
      </c>
      <c r="P83" s="11">
        <v>0.1</v>
      </c>
      <c r="Q83" s="11">
        <v>0.1</v>
      </c>
      <c r="R83" s="7">
        <v>0</v>
      </c>
      <c r="S83" s="7">
        <v>458</v>
      </c>
      <c r="T83" s="12">
        <v>450</v>
      </c>
      <c r="U83" s="12">
        <f>VLOOKUP(B83,'[1]Carreras 2027'!$B:$AT,45,FALSE)</f>
        <v>450</v>
      </c>
      <c r="V83" t="s">
        <v>296</v>
      </c>
    </row>
    <row r="84" spans="1:22" x14ac:dyDescent="0.3">
      <c r="A84" s="6" t="s">
        <v>297</v>
      </c>
      <c r="B84" s="7">
        <v>41090</v>
      </c>
      <c r="C84" s="8" t="s">
        <v>36</v>
      </c>
      <c r="D84" s="8" t="s">
        <v>82</v>
      </c>
      <c r="E84" s="8" t="s">
        <v>23</v>
      </c>
      <c r="F84" s="8" t="str">
        <f t="shared" si="4"/>
        <v>UNAB11500</v>
      </c>
      <c r="G84" s="9" t="s">
        <v>46</v>
      </c>
      <c r="H84" s="7" t="s">
        <v>38</v>
      </c>
      <c r="I84" s="7" t="s">
        <v>26</v>
      </c>
      <c r="J84" s="10" t="s">
        <v>295</v>
      </c>
      <c r="K84" s="11">
        <v>0.3</v>
      </c>
      <c r="L84" s="11">
        <v>0.15</v>
      </c>
      <c r="M84" s="11">
        <v>0.1</v>
      </c>
      <c r="N84" s="11">
        <v>0.3</v>
      </c>
      <c r="O84" s="11">
        <v>0.05</v>
      </c>
      <c r="P84" s="11">
        <v>0.1</v>
      </c>
      <c r="Q84" s="11">
        <v>0.1</v>
      </c>
      <c r="R84" s="7">
        <v>0</v>
      </c>
      <c r="S84" s="7">
        <v>458</v>
      </c>
      <c r="T84" s="12">
        <v>450</v>
      </c>
      <c r="U84" s="12">
        <f>VLOOKUP(B84,'[1]Carreras 2027'!$B:$AT,45,FALSE)</f>
        <v>450</v>
      </c>
      <c r="V84" t="s">
        <v>298</v>
      </c>
    </row>
    <row r="85" spans="1:22" x14ac:dyDescent="0.3">
      <c r="A85" s="6" t="s">
        <v>273</v>
      </c>
      <c r="B85" s="7">
        <v>41189</v>
      </c>
      <c r="C85" s="8" t="s">
        <v>31</v>
      </c>
      <c r="D85" s="8" t="s">
        <v>82</v>
      </c>
      <c r="E85" s="8" t="s">
        <v>241</v>
      </c>
      <c r="F85" s="8" t="str">
        <f t="shared" si="4"/>
        <v>UNAB37130</v>
      </c>
      <c r="G85" s="9" t="s">
        <v>61</v>
      </c>
      <c r="H85" s="7" t="s">
        <v>243</v>
      </c>
      <c r="I85" s="7" t="s">
        <v>99</v>
      </c>
      <c r="J85" s="10" t="s">
        <v>299</v>
      </c>
      <c r="K85" s="11">
        <v>0.3</v>
      </c>
      <c r="L85" s="11">
        <v>0.2</v>
      </c>
      <c r="M85" s="11">
        <v>0.1</v>
      </c>
      <c r="N85" s="11">
        <v>0.3</v>
      </c>
      <c r="O85" s="21" t="s">
        <v>28</v>
      </c>
      <c r="P85" s="11">
        <v>0.1</v>
      </c>
      <c r="Q85" s="11">
        <v>0.1</v>
      </c>
      <c r="R85" s="7">
        <v>0</v>
      </c>
      <c r="S85" s="7">
        <v>458</v>
      </c>
      <c r="T85" s="12">
        <v>450</v>
      </c>
      <c r="U85" s="12">
        <f>VLOOKUP(B85,'[1]Carreras 2027'!$B:$AT,45,FALSE)</f>
        <v>450</v>
      </c>
      <c r="V85" t="s">
        <v>300</v>
      </c>
    </row>
    <row r="86" spans="1:22" x14ac:dyDescent="0.3">
      <c r="A86" s="6" t="s">
        <v>197</v>
      </c>
      <c r="B86" s="7">
        <v>41049</v>
      </c>
      <c r="C86" s="8" t="s">
        <v>31</v>
      </c>
      <c r="D86" s="8" t="s">
        <v>82</v>
      </c>
      <c r="E86" s="8" t="s">
        <v>23</v>
      </c>
      <c r="F86" s="8" t="str">
        <f t="shared" si="4"/>
        <v>UNAB11400</v>
      </c>
      <c r="G86" s="9" t="s">
        <v>109</v>
      </c>
      <c r="H86" s="7" t="s">
        <v>213</v>
      </c>
      <c r="I86" s="7" t="s">
        <v>26</v>
      </c>
      <c r="J86" s="10" t="s">
        <v>301</v>
      </c>
      <c r="K86" s="11">
        <v>0.3</v>
      </c>
      <c r="L86" s="11">
        <v>0.15</v>
      </c>
      <c r="M86" s="11">
        <v>0.1</v>
      </c>
      <c r="N86" s="11">
        <v>0.3</v>
      </c>
      <c r="O86" s="11">
        <v>0.05</v>
      </c>
      <c r="P86" s="11">
        <v>0.1</v>
      </c>
      <c r="Q86" s="11">
        <v>0.1</v>
      </c>
      <c r="R86" s="7">
        <v>0</v>
      </c>
      <c r="S86" s="7">
        <v>458</v>
      </c>
      <c r="T86" s="12">
        <v>450</v>
      </c>
      <c r="U86" s="12">
        <f>VLOOKUP(B86,'[1]Carreras 2027'!$B:$AT,45,FALSE)</f>
        <v>450</v>
      </c>
      <c r="V86" t="s">
        <v>302</v>
      </c>
    </row>
    <row r="87" spans="1:22" x14ac:dyDescent="0.3">
      <c r="A87" s="6" t="s">
        <v>303</v>
      </c>
      <c r="B87" s="7">
        <v>41123</v>
      </c>
      <c r="C87" s="8" t="s">
        <v>21</v>
      </c>
      <c r="D87" s="8" t="s">
        <v>82</v>
      </c>
      <c r="E87" s="8" t="s">
        <v>23</v>
      </c>
      <c r="F87" s="8" t="str">
        <f t="shared" si="4"/>
        <v>UNAB14001</v>
      </c>
      <c r="G87" s="9" t="s">
        <v>131</v>
      </c>
      <c r="H87" s="7" t="s">
        <v>25</v>
      </c>
      <c r="I87" s="7" t="s">
        <v>26</v>
      </c>
      <c r="J87" s="10" t="s">
        <v>304</v>
      </c>
      <c r="K87" s="11">
        <v>0.3</v>
      </c>
      <c r="L87" s="11">
        <v>0.15</v>
      </c>
      <c r="M87" s="11">
        <v>0.1</v>
      </c>
      <c r="N87" s="11">
        <v>0.3</v>
      </c>
      <c r="O87" s="11">
        <v>0.05</v>
      </c>
      <c r="P87" s="11">
        <v>0.1</v>
      </c>
      <c r="Q87" s="11">
        <v>0.1</v>
      </c>
      <c r="R87" s="7">
        <v>0</v>
      </c>
      <c r="S87" s="7">
        <v>458</v>
      </c>
      <c r="T87" s="12">
        <v>450</v>
      </c>
      <c r="U87" s="12">
        <f>VLOOKUP(B87,'[1]Carreras 2027'!$B:$AT,45,FALSE)</f>
        <v>450</v>
      </c>
      <c r="V87" t="s">
        <v>305</v>
      </c>
    </row>
    <row r="88" spans="1:22" x14ac:dyDescent="0.3">
      <c r="A88" s="6" t="s">
        <v>306</v>
      </c>
      <c r="B88" s="7">
        <v>41091</v>
      </c>
      <c r="C88" s="8" t="s">
        <v>36</v>
      </c>
      <c r="D88" s="8" t="s">
        <v>82</v>
      </c>
      <c r="E88" s="8" t="s">
        <v>23</v>
      </c>
      <c r="F88" s="8" t="str">
        <f t="shared" si="4"/>
        <v>UNAB14001</v>
      </c>
      <c r="G88" s="9" t="s">
        <v>141</v>
      </c>
      <c r="H88" s="7" t="s">
        <v>38</v>
      </c>
      <c r="I88" s="7" t="s">
        <v>26</v>
      </c>
      <c r="J88" s="10" t="s">
        <v>304</v>
      </c>
      <c r="K88" s="11">
        <v>0.3</v>
      </c>
      <c r="L88" s="11">
        <v>0.15</v>
      </c>
      <c r="M88" s="11">
        <v>0.1</v>
      </c>
      <c r="N88" s="11">
        <v>0.3</v>
      </c>
      <c r="O88" s="11">
        <v>0.05</v>
      </c>
      <c r="P88" s="11">
        <v>0.1</v>
      </c>
      <c r="Q88" s="11">
        <v>0.1</v>
      </c>
      <c r="R88" s="7">
        <v>0</v>
      </c>
      <c r="S88" s="7">
        <v>458</v>
      </c>
      <c r="T88" s="12">
        <v>459</v>
      </c>
      <c r="U88" s="12">
        <f>VLOOKUP(B88,'[1]Carreras 2027'!$B:$AT,45,FALSE)</f>
        <v>450</v>
      </c>
      <c r="V88" t="s">
        <v>307</v>
      </c>
    </row>
    <row r="89" spans="1:22" x14ac:dyDescent="0.3">
      <c r="A89" s="6" t="s">
        <v>254</v>
      </c>
      <c r="B89" s="7">
        <v>41217</v>
      </c>
      <c r="C89" s="8" t="s">
        <v>31</v>
      </c>
      <c r="D89" s="8" t="s">
        <v>88</v>
      </c>
      <c r="E89" s="8" t="s">
        <v>23</v>
      </c>
      <c r="F89" s="8" t="str">
        <f t="shared" si="4"/>
        <v>UNAB17107</v>
      </c>
      <c r="G89" s="9" t="s">
        <v>182</v>
      </c>
      <c r="H89" s="7" t="s">
        <v>58</v>
      </c>
      <c r="I89" s="7" t="s">
        <v>26</v>
      </c>
      <c r="J89" s="14" t="s">
        <v>308</v>
      </c>
      <c r="K89" s="11">
        <v>0.1</v>
      </c>
      <c r="L89" s="11">
        <v>0.4</v>
      </c>
      <c r="M89" s="11">
        <v>0.1</v>
      </c>
      <c r="N89" s="11">
        <v>0.3</v>
      </c>
      <c r="O89" s="11" t="s">
        <v>28</v>
      </c>
      <c r="P89" s="11">
        <v>0.1</v>
      </c>
      <c r="Q89" s="11">
        <v>0.1</v>
      </c>
      <c r="R89" s="7">
        <v>0</v>
      </c>
      <c r="S89" s="7">
        <v>458</v>
      </c>
      <c r="T89" s="12">
        <v>460</v>
      </c>
      <c r="U89" s="12">
        <f>VLOOKUP(B89,'[1]Carreras 2027'!$B:$AT,45,FALSE)</f>
        <v>450</v>
      </c>
      <c r="V89" t="s">
        <v>309</v>
      </c>
    </row>
    <row r="90" spans="1:22" x14ac:dyDescent="0.3">
      <c r="A90" s="6" t="s">
        <v>310</v>
      </c>
      <c r="B90" s="7">
        <v>41223</v>
      </c>
      <c r="C90" s="8" t="s">
        <v>21</v>
      </c>
      <c r="D90" s="8" t="s">
        <v>88</v>
      </c>
      <c r="E90" s="8" t="s">
        <v>23</v>
      </c>
      <c r="F90" s="8" t="s">
        <v>311</v>
      </c>
      <c r="G90" s="9" t="s">
        <v>312</v>
      </c>
      <c r="H90" s="7" t="s">
        <v>25</v>
      </c>
      <c r="I90" s="7" t="s">
        <v>26</v>
      </c>
      <c r="J90" s="10" t="s">
        <v>308</v>
      </c>
      <c r="K90" s="11">
        <v>0.1</v>
      </c>
      <c r="L90" s="11">
        <v>0.4</v>
      </c>
      <c r="M90" s="11">
        <v>0.1</v>
      </c>
      <c r="N90" s="11">
        <v>0.3</v>
      </c>
      <c r="O90" s="11" t="s">
        <v>28</v>
      </c>
      <c r="P90" s="11">
        <v>0.1</v>
      </c>
      <c r="Q90" s="11">
        <v>0.1</v>
      </c>
      <c r="R90" s="7">
        <v>0</v>
      </c>
      <c r="S90" s="7">
        <v>458</v>
      </c>
      <c r="T90" s="29">
        <v>460</v>
      </c>
      <c r="U90" s="12">
        <f>VLOOKUP(B90,'[1]Carreras 2027'!$B:$AT,45,FALSE)</f>
        <v>450</v>
      </c>
      <c r="V90" t="s">
        <v>313</v>
      </c>
    </row>
    <row r="91" spans="1:22" x14ac:dyDescent="0.3">
      <c r="A91" s="6" t="s">
        <v>314</v>
      </c>
      <c r="B91" s="7">
        <v>41224</v>
      </c>
      <c r="C91" s="8" t="s">
        <v>36</v>
      </c>
      <c r="D91" s="8" t="s">
        <v>88</v>
      </c>
      <c r="E91" s="8" t="s">
        <v>23</v>
      </c>
      <c r="F91" s="8" t="s">
        <v>311</v>
      </c>
      <c r="G91" s="9" t="s">
        <v>315</v>
      </c>
      <c r="H91" s="7" t="s">
        <v>38</v>
      </c>
      <c r="I91" s="7" t="s">
        <v>26</v>
      </c>
      <c r="J91" s="30" t="s">
        <v>308</v>
      </c>
      <c r="K91" s="11">
        <v>0.1</v>
      </c>
      <c r="L91" s="11">
        <v>0.4</v>
      </c>
      <c r="M91" s="11">
        <v>0.1</v>
      </c>
      <c r="N91" s="11">
        <v>0.3</v>
      </c>
      <c r="O91" s="11" t="s">
        <v>28</v>
      </c>
      <c r="P91" s="11">
        <v>0.1</v>
      </c>
      <c r="Q91" s="11">
        <v>0.1</v>
      </c>
      <c r="R91" s="7">
        <v>0</v>
      </c>
      <c r="S91" s="7">
        <v>458</v>
      </c>
      <c r="T91" s="29">
        <v>460</v>
      </c>
      <c r="U91" s="12">
        <f>VLOOKUP(B91,'[1]Carreras 2027'!$B:$AT,45,FALSE)</f>
        <v>450</v>
      </c>
      <c r="V91" t="s">
        <v>316</v>
      </c>
    </row>
    <row r="92" spans="1:22" x14ac:dyDescent="0.3">
      <c r="A92" s="6" t="s">
        <v>249</v>
      </c>
      <c r="B92" s="7">
        <v>41031</v>
      </c>
      <c r="C92" s="8" t="s">
        <v>31</v>
      </c>
      <c r="D92" s="8" t="s">
        <v>88</v>
      </c>
      <c r="E92" s="8" t="s">
        <v>23</v>
      </c>
      <c r="F92" s="8" t="str">
        <f>MID(G92,1,9)</f>
        <v>UNAB19250</v>
      </c>
      <c r="G92" s="9" t="s">
        <v>196</v>
      </c>
      <c r="H92" s="7" t="s">
        <v>58</v>
      </c>
      <c r="I92" s="7" t="s">
        <v>26</v>
      </c>
      <c r="J92" s="14" t="s">
        <v>317</v>
      </c>
      <c r="K92" s="11">
        <v>0.1</v>
      </c>
      <c r="L92" s="11">
        <v>0.4</v>
      </c>
      <c r="M92" s="11">
        <v>0.1</v>
      </c>
      <c r="N92" s="11">
        <v>0.3</v>
      </c>
      <c r="O92" s="11" t="s">
        <v>28</v>
      </c>
      <c r="P92" s="11">
        <v>0.1</v>
      </c>
      <c r="Q92" s="11">
        <v>0.1</v>
      </c>
      <c r="R92" s="7">
        <v>0</v>
      </c>
      <c r="S92" s="7">
        <v>458</v>
      </c>
      <c r="T92" s="12">
        <v>450</v>
      </c>
      <c r="U92" s="12">
        <f>VLOOKUP(B92,'[1]Carreras 2027'!$B:$AT,45,FALSE)</f>
        <v>450</v>
      </c>
      <c r="V92" t="s">
        <v>318</v>
      </c>
    </row>
    <row r="93" spans="1:22" x14ac:dyDescent="0.3">
      <c r="A93" s="6" t="s">
        <v>319</v>
      </c>
      <c r="B93" s="7">
        <v>41136</v>
      </c>
      <c r="C93" s="8" t="s">
        <v>36</v>
      </c>
      <c r="D93" s="8" t="s">
        <v>88</v>
      </c>
      <c r="E93" s="8" t="s">
        <v>23</v>
      </c>
      <c r="F93" s="8" t="str">
        <f>MID(G93,1,9)</f>
        <v>UNAB19250</v>
      </c>
      <c r="G93" s="9" t="s">
        <v>224</v>
      </c>
      <c r="H93" s="7" t="s">
        <v>38</v>
      </c>
      <c r="I93" s="7" t="s">
        <v>26</v>
      </c>
      <c r="J93" s="10" t="s">
        <v>317</v>
      </c>
      <c r="K93" s="11">
        <v>0.1</v>
      </c>
      <c r="L93" s="11">
        <v>0.4</v>
      </c>
      <c r="M93" s="11">
        <v>0.1</v>
      </c>
      <c r="N93" s="11">
        <v>0.3</v>
      </c>
      <c r="O93" s="11" t="s">
        <v>28</v>
      </c>
      <c r="P93" s="11">
        <v>0.1</v>
      </c>
      <c r="Q93" s="11">
        <v>0.1</v>
      </c>
      <c r="R93" s="7">
        <v>0</v>
      </c>
      <c r="S93" s="7">
        <v>458</v>
      </c>
      <c r="T93" s="12">
        <v>450</v>
      </c>
      <c r="U93" s="12">
        <f>VLOOKUP(B93,'[1]Carreras 2027'!$B:$AT,45,FALSE)</f>
        <v>450</v>
      </c>
      <c r="V93" t="s">
        <v>320</v>
      </c>
    </row>
    <row r="94" spans="1:22" x14ac:dyDescent="0.3">
      <c r="A94" s="6" t="s">
        <v>321</v>
      </c>
      <c r="B94" s="7">
        <v>41011</v>
      </c>
      <c r="C94" s="8" t="s">
        <v>31</v>
      </c>
      <c r="D94" s="8" t="s">
        <v>322</v>
      </c>
      <c r="E94" s="8" t="s">
        <v>23</v>
      </c>
      <c r="F94" s="8" t="str">
        <f>MID(G94,1,9)</f>
        <v>UNAB11380</v>
      </c>
      <c r="G94" s="9" t="s">
        <v>236</v>
      </c>
      <c r="H94" s="7" t="s">
        <v>33</v>
      </c>
      <c r="I94" s="7" t="s">
        <v>26</v>
      </c>
      <c r="J94" s="10" t="s">
        <v>323</v>
      </c>
      <c r="K94" s="11">
        <v>0.2</v>
      </c>
      <c r="L94" s="11">
        <v>0.25</v>
      </c>
      <c r="M94" s="11">
        <v>0.1</v>
      </c>
      <c r="N94" s="11">
        <v>0.3</v>
      </c>
      <c r="O94" s="11">
        <v>0.05</v>
      </c>
      <c r="P94" s="11" t="s">
        <v>28</v>
      </c>
      <c r="Q94" s="11">
        <v>0.1</v>
      </c>
      <c r="R94" s="7">
        <v>0</v>
      </c>
      <c r="S94" s="7">
        <v>458</v>
      </c>
      <c r="T94" s="12">
        <v>450</v>
      </c>
      <c r="U94" s="12">
        <f>VLOOKUP(B94,'[1]Carreras 2027'!$B:$AT,45,FALSE)</f>
        <v>555</v>
      </c>
      <c r="V94" t="s">
        <v>324</v>
      </c>
    </row>
    <row r="95" spans="1:22" x14ac:dyDescent="0.3">
      <c r="A95" s="6" t="s">
        <v>201</v>
      </c>
      <c r="B95" s="7">
        <v>41055</v>
      </c>
      <c r="C95" s="8" t="s">
        <v>31</v>
      </c>
      <c r="D95" s="8" t="s">
        <v>82</v>
      </c>
      <c r="E95" s="8" t="s">
        <v>23</v>
      </c>
      <c r="F95" s="8" t="str">
        <f>MID(G95,1,9)</f>
        <v>UNAB12510</v>
      </c>
      <c r="G95" s="9" t="s">
        <v>250</v>
      </c>
      <c r="H95" s="7" t="s">
        <v>213</v>
      </c>
      <c r="I95" s="7" t="s">
        <v>26</v>
      </c>
      <c r="J95" s="10" t="s">
        <v>325</v>
      </c>
      <c r="K95" s="11">
        <v>0.3</v>
      </c>
      <c r="L95" s="11">
        <v>0.15</v>
      </c>
      <c r="M95" s="11">
        <v>0.1</v>
      </c>
      <c r="N95" s="11">
        <v>0.3</v>
      </c>
      <c r="O95" s="11">
        <v>0.05</v>
      </c>
      <c r="P95" s="11">
        <v>0.1</v>
      </c>
      <c r="Q95" s="11">
        <v>0.1</v>
      </c>
      <c r="R95" s="7">
        <v>0</v>
      </c>
      <c r="S95" s="7">
        <v>458</v>
      </c>
      <c r="T95" s="12">
        <v>450</v>
      </c>
      <c r="U95" s="12">
        <f>VLOOKUP(B95,'[1]Carreras 2027'!$B:$AT,45,FALSE)</f>
        <v>450</v>
      </c>
      <c r="V95" t="s">
        <v>326</v>
      </c>
    </row>
    <row r="96" spans="1:22" x14ac:dyDescent="0.3">
      <c r="A96" s="6" t="s">
        <v>276</v>
      </c>
      <c r="B96" s="7">
        <v>41188</v>
      </c>
      <c r="C96" s="8" t="s">
        <v>31</v>
      </c>
      <c r="D96" s="8" t="s">
        <v>82</v>
      </c>
      <c r="E96" s="8" t="s">
        <v>241</v>
      </c>
      <c r="F96" s="8" t="str">
        <f>MID(G96,1,9)</f>
        <v>UNAB37129</v>
      </c>
      <c r="G96" s="9" t="s">
        <v>260</v>
      </c>
      <c r="H96" s="7" t="s">
        <v>243</v>
      </c>
      <c r="I96" s="7" t="s">
        <v>99</v>
      </c>
      <c r="J96" s="10" t="s">
        <v>327</v>
      </c>
      <c r="K96" s="11">
        <v>0.3</v>
      </c>
      <c r="L96" s="11">
        <v>0.2</v>
      </c>
      <c r="M96" s="11">
        <v>0.1</v>
      </c>
      <c r="N96" s="11">
        <v>0.3</v>
      </c>
      <c r="O96" s="11"/>
      <c r="P96" s="11">
        <v>0.1</v>
      </c>
      <c r="Q96" s="11">
        <v>0.1</v>
      </c>
      <c r="R96" s="7">
        <v>0</v>
      </c>
      <c r="S96" s="7">
        <v>458</v>
      </c>
      <c r="T96" s="12">
        <v>450</v>
      </c>
      <c r="U96" s="12">
        <f>VLOOKUP(B96,'[1]Carreras 2027'!$B:$AT,45,FALSE)</f>
        <v>450</v>
      </c>
      <c r="V96" t="s">
        <v>328</v>
      </c>
    </row>
    <row r="97" spans="1:22" x14ac:dyDescent="0.3">
      <c r="A97" s="6" t="s">
        <v>251</v>
      </c>
      <c r="B97" s="7">
        <v>41221</v>
      </c>
      <c r="C97" s="6" t="s">
        <v>31</v>
      </c>
      <c r="D97" s="6" t="s">
        <v>88</v>
      </c>
      <c r="E97" s="8" t="s">
        <v>23</v>
      </c>
      <c r="F97" s="8" t="s">
        <v>329</v>
      </c>
      <c r="G97" s="9" t="s">
        <v>330</v>
      </c>
      <c r="H97" s="7" t="s">
        <v>58</v>
      </c>
      <c r="I97" s="7" t="s">
        <v>26</v>
      </c>
      <c r="J97" s="14" t="s">
        <v>331</v>
      </c>
      <c r="K97" s="11">
        <v>0.1</v>
      </c>
      <c r="L97" s="11">
        <v>0.4</v>
      </c>
      <c r="M97" s="11">
        <v>0.1</v>
      </c>
      <c r="N97" s="11">
        <v>0.3</v>
      </c>
      <c r="O97" s="11"/>
      <c r="P97" s="11">
        <v>0.1</v>
      </c>
      <c r="Q97" s="11">
        <v>0.1</v>
      </c>
      <c r="R97" s="7">
        <v>0</v>
      </c>
      <c r="S97" s="7">
        <v>458</v>
      </c>
      <c r="T97" s="12">
        <v>460</v>
      </c>
      <c r="U97" s="12">
        <f>VLOOKUP(B97,'[1]Carreras 2027'!$B:$AT,45,FALSE)</f>
        <v>500</v>
      </c>
      <c r="V97" t="s">
        <v>332</v>
      </c>
    </row>
    <row r="98" spans="1:22" x14ac:dyDescent="0.3">
      <c r="A98" s="6" t="s">
        <v>42</v>
      </c>
      <c r="B98" s="7">
        <v>41009</v>
      </c>
      <c r="C98" s="8" t="s">
        <v>31</v>
      </c>
      <c r="D98" s="8" t="s">
        <v>188</v>
      </c>
      <c r="E98" s="8" t="s">
        <v>23</v>
      </c>
      <c r="F98" s="8" t="str">
        <f t="shared" ref="F98:F105" si="5">MID(G98,1,9)</f>
        <v>UNAB19300</v>
      </c>
      <c r="G98" s="9" t="s">
        <v>284</v>
      </c>
      <c r="H98" s="7" t="s">
        <v>58</v>
      </c>
      <c r="I98" s="7" t="s">
        <v>26</v>
      </c>
      <c r="J98" s="14" t="s">
        <v>333</v>
      </c>
      <c r="K98" s="11">
        <v>0.1</v>
      </c>
      <c r="L98" s="11">
        <v>0.4</v>
      </c>
      <c r="M98" s="11">
        <v>0.2</v>
      </c>
      <c r="N98" s="11">
        <v>0.2</v>
      </c>
      <c r="O98" s="11" t="s">
        <v>28</v>
      </c>
      <c r="P98" s="11" t="s">
        <v>28</v>
      </c>
      <c r="Q98" s="11">
        <v>0.1</v>
      </c>
      <c r="R98" s="7">
        <v>0</v>
      </c>
      <c r="S98" s="7">
        <v>458</v>
      </c>
      <c r="T98" s="12">
        <v>450</v>
      </c>
      <c r="U98" s="12">
        <f>VLOOKUP(B98,'[1]Carreras 2027'!$B:$AT,45,FALSE)</f>
        <v>450</v>
      </c>
      <c r="V98" t="s">
        <v>334</v>
      </c>
    </row>
    <row r="99" spans="1:22" x14ac:dyDescent="0.3">
      <c r="A99" s="9" t="s">
        <v>65</v>
      </c>
      <c r="B99" s="7">
        <v>41102</v>
      </c>
      <c r="C99" s="8" t="s">
        <v>21</v>
      </c>
      <c r="D99" s="8" t="s">
        <v>188</v>
      </c>
      <c r="E99" s="8" t="s">
        <v>23</v>
      </c>
      <c r="F99" s="8" t="str">
        <f t="shared" si="5"/>
        <v>UNAB19300</v>
      </c>
      <c r="G99" s="9" t="s">
        <v>303</v>
      </c>
      <c r="H99" s="7" t="s">
        <v>25</v>
      </c>
      <c r="I99" s="7" t="s">
        <v>26</v>
      </c>
      <c r="J99" s="10" t="s">
        <v>333</v>
      </c>
      <c r="K99" s="11">
        <v>0.1</v>
      </c>
      <c r="L99" s="11">
        <v>0.4</v>
      </c>
      <c r="M99" s="11">
        <v>0.2</v>
      </c>
      <c r="N99" s="11">
        <v>0.2</v>
      </c>
      <c r="O99" s="11" t="s">
        <v>28</v>
      </c>
      <c r="P99" s="11" t="s">
        <v>28</v>
      </c>
      <c r="Q99" s="11">
        <v>0.1</v>
      </c>
      <c r="R99" s="7">
        <v>0</v>
      </c>
      <c r="S99" s="7">
        <v>458</v>
      </c>
      <c r="T99" s="12">
        <v>450</v>
      </c>
      <c r="U99" s="12">
        <f>VLOOKUP(B99,'[1]Carreras 2027'!$B:$AT,45,FALSE)</f>
        <v>450</v>
      </c>
      <c r="V99" t="s">
        <v>335</v>
      </c>
    </row>
    <row r="100" spans="1:22" x14ac:dyDescent="0.3">
      <c r="A100" s="6" t="s">
        <v>142</v>
      </c>
      <c r="B100" s="7">
        <v>41066</v>
      </c>
      <c r="C100" s="8" t="s">
        <v>36</v>
      </c>
      <c r="D100" s="8" t="s">
        <v>188</v>
      </c>
      <c r="E100" s="8" t="s">
        <v>23</v>
      </c>
      <c r="F100" s="8" t="str">
        <f t="shared" si="5"/>
        <v>UNAB19300</v>
      </c>
      <c r="G100" s="9" t="s">
        <v>310</v>
      </c>
      <c r="H100" s="7" t="s">
        <v>38</v>
      </c>
      <c r="I100" s="7" t="s">
        <v>26</v>
      </c>
      <c r="J100" s="10" t="s">
        <v>333</v>
      </c>
      <c r="K100" s="11">
        <v>0.1</v>
      </c>
      <c r="L100" s="11">
        <v>0.4</v>
      </c>
      <c r="M100" s="11">
        <v>0.2</v>
      </c>
      <c r="N100" s="11">
        <v>0.2</v>
      </c>
      <c r="O100" s="11" t="s">
        <v>28</v>
      </c>
      <c r="P100" s="11" t="s">
        <v>28</v>
      </c>
      <c r="Q100" s="11">
        <v>0.1</v>
      </c>
      <c r="R100" s="7">
        <v>0</v>
      </c>
      <c r="S100" s="7">
        <v>458</v>
      </c>
      <c r="T100" s="12">
        <v>486</v>
      </c>
      <c r="U100" s="12">
        <f>VLOOKUP(B100,'[1]Carreras 2027'!$B:$AT,45,FALSE)</f>
        <v>450</v>
      </c>
      <c r="V100" t="s">
        <v>336</v>
      </c>
    </row>
    <row r="101" spans="1:22" x14ac:dyDescent="0.3">
      <c r="A101" s="6" t="s">
        <v>337</v>
      </c>
      <c r="B101" s="7">
        <v>41219</v>
      </c>
      <c r="C101" s="8" t="s">
        <v>21</v>
      </c>
      <c r="D101" s="8" t="s">
        <v>322</v>
      </c>
      <c r="E101" s="8" t="s">
        <v>23</v>
      </c>
      <c r="F101" s="8" t="str">
        <f t="shared" si="5"/>
        <v>UNAB19205</v>
      </c>
      <c r="G101" s="9" t="s">
        <v>338</v>
      </c>
      <c r="H101" s="7" t="s">
        <v>25</v>
      </c>
      <c r="I101" s="7" t="s">
        <v>26</v>
      </c>
      <c r="J101" s="10" t="s">
        <v>339</v>
      </c>
      <c r="K101" s="11">
        <v>0.1</v>
      </c>
      <c r="L101" s="11">
        <v>0.1</v>
      </c>
      <c r="M101" s="11">
        <v>0.1</v>
      </c>
      <c r="N101" s="11">
        <v>0.55000000000000004</v>
      </c>
      <c r="O101" s="11">
        <v>0.05</v>
      </c>
      <c r="P101" s="11" t="s">
        <v>28</v>
      </c>
      <c r="Q101" s="11">
        <v>0.1</v>
      </c>
      <c r="R101" s="7">
        <v>0</v>
      </c>
      <c r="S101" s="12">
        <v>458</v>
      </c>
      <c r="T101" s="12">
        <v>450</v>
      </c>
      <c r="U101" s="12">
        <f>VLOOKUP(B101,'[1]Carreras 2027'!$B:$AT,45,FALSE)</f>
        <v>460</v>
      </c>
      <c r="V101" t="s">
        <v>340</v>
      </c>
    </row>
    <row r="102" spans="1:22" x14ac:dyDescent="0.3">
      <c r="A102" s="6" t="s">
        <v>341</v>
      </c>
      <c r="B102" s="7">
        <v>41012</v>
      </c>
      <c r="C102" s="8" t="s">
        <v>31</v>
      </c>
      <c r="D102" s="8" t="s">
        <v>322</v>
      </c>
      <c r="E102" s="8" t="s">
        <v>23</v>
      </c>
      <c r="F102" s="8" t="str">
        <f t="shared" si="5"/>
        <v>UNAB19205</v>
      </c>
      <c r="G102" s="9" t="s">
        <v>337</v>
      </c>
      <c r="H102" s="7" t="s">
        <v>33</v>
      </c>
      <c r="I102" s="7" t="s">
        <v>26</v>
      </c>
      <c r="J102" s="10" t="s">
        <v>339</v>
      </c>
      <c r="K102" s="31">
        <v>0.1</v>
      </c>
      <c r="L102" s="11">
        <v>0.1</v>
      </c>
      <c r="M102" s="11">
        <v>0.1</v>
      </c>
      <c r="N102" s="11">
        <v>0.55000000000000004</v>
      </c>
      <c r="O102" s="11">
        <v>0.05</v>
      </c>
      <c r="P102" s="11" t="s">
        <v>28</v>
      </c>
      <c r="Q102" s="11">
        <v>0.1</v>
      </c>
      <c r="R102" s="7">
        <v>0</v>
      </c>
      <c r="S102" s="12">
        <v>458</v>
      </c>
      <c r="T102" s="12">
        <v>450</v>
      </c>
      <c r="U102" s="12">
        <f>VLOOKUP(B102,'[1]Carreras 2027'!$B:$AT,45,FALSE)</f>
        <v>470</v>
      </c>
      <c r="V102" t="s">
        <v>342</v>
      </c>
    </row>
    <row r="103" spans="1:22" x14ac:dyDescent="0.3">
      <c r="A103" s="6" t="s">
        <v>343</v>
      </c>
      <c r="B103" s="7">
        <v>41013</v>
      </c>
      <c r="C103" s="8" t="s">
        <v>31</v>
      </c>
      <c r="D103" s="8" t="s">
        <v>322</v>
      </c>
      <c r="E103" s="8" t="s">
        <v>23</v>
      </c>
      <c r="F103" s="8" t="str">
        <f t="shared" si="5"/>
        <v>UNAB11390</v>
      </c>
      <c r="G103" s="9" t="s">
        <v>344</v>
      </c>
      <c r="H103" s="7" t="s">
        <v>33</v>
      </c>
      <c r="I103" s="7" t="s">
        <v>26</v>
      </c>
      <c r="J103" s="10" t="s">
        <v>345</v>
      </c>
      <c r="K103" s="11">
        <v>0.2</v>
      </c>
      <c r="L103" s="11">
        <v>0.25</v>
      </c>
      <c r="M103" s="11">
        <v>0.1</v>
      </c>
      <c r="N103" s="11">
        <v>0.3</v>
      </c>
      <c r="O103" s="11">
        <v>0.05</v>
      </c>
      <c r="P103" s="11" t="s">
        <v>28</v>
      </c>
      <c r="Q103" s="11">
        <v>0.1</v>
      </c>
      <c r="R103" s="7">
        <v>0</v>
      </c>
      <c r="S103" s="7">
        <v>458</v>
      </c>
      <c r="T103" s="12">
        <v>450</v>
      </c>
      <c r="U103" s="12">
        <f>VLOOKUP(B103,'[1]Carreras 2027'!$B:$AT,45,FALSE)</f>
        <v>480</v>
      </c>
      <c r="V103" t="s">
        <v>346</v>
      </c>
    </row>
    <row r="104" spans="1:22" x14ac:dyDescent="0.3">
      <c r="A104" s="6" t="s">
        <v>347</v>
      </c>
      <c r="B104" s="7">
        <v>41039</v>
      </c>
      <c r="C104" s="8" t="s">
        <v>31</v>
      </c>
      <c r="D104" s="8" t="s">
        <v>126</v>
      </c>
      <c r="E104" s="8" t="s">
        <v>23</v>
      </c>
      <c r="F104" s="8" t="str">
        <f t="shared" si="5"/>
        <v>UNAB12310</v>
      </c>
      <c r="G104" s="9" t="s">
        <v>348</v>
      </c>
      <c r="H104" s="7" t="s">
        <v>33</v>
      </c>
      <c r="I104" s="7" t="s">
        <v>26</v>
      </c>
      <c r="J104" s="10" t="s">
        <v>349</v>
      </c>
      <c r="K104" s="11">
        <v>0.2</v>
      </c>
      <c r="L104" s="11">
        <v>0.3</v>
      </c>
      <c r="M104" s="11">
        <v>0.2</v>
      </c>
      <c r="N104" s="11">
        <v>0.2</v>
      </c>
      <c r="O104" s="11" t="s">
        <v>28</v>
      </c>
      <c r="P104" s="11">
        <v>0.1</v>
      </c>
      <c r="Q104" s="11">
        <v>0.1</v>
      </c>
      <c r="R104" s="7">
        <v>0</v>
      </c>
      <c r="S104" s="7">
        <v>458</v>
      </c>
      <c r="T104" s="12">
        <v>450</v>
      </c>
      <c r="U104" s="12" t="str">
        <f>VLOOKUP(B104,'[1]Carreras 2027'!$B:$AT,45,FALSE)</f>
        <v>-</v>
      </c>
      <c r="V104" t="s">
        <v>350</v>
      </c>
    </row>
    <row r="105" spans="1:22" x14ac:dyDescent="0.3">
      <c r="A105" s="6" t="s">
        <v>351</v>
      </c>
      <c r="B105" s="7">
        <v>41040</v>
      </c>
      <c r="C105" s="8" t="s">
        <v>31</v>
      </c>
      <c r="D105" s="8" t="s">
        <v>126</v>
      </c>
      <c r="E105" s="8" t="s">
        <v>23</v>
      </c>
      <c r="F105" s="8" t="str">
        <f t="shared" si="5"/>
        <v>UNAB12372</v>
      </c>
      <c r="G105" s="9" t="s">
        <v>119</v>
      </c>
      <c r="H105" s="7" t="s">
        <v>33</v>
      </c>
      <c r="I105" s="7" t="s">
        <v>26</v>
      </c>
      <c r="J105" s="10" t="s">
        <v>352</v>
      </c>
      <c r="K105" s="11">
        <v>0.2</v>
      </c>
      <c r="L105" s="11">
        <v>0.3</v>
      </c>
      <c r="M105" s="11">
        <v>0.2</v>
      </c>
      <c r="N105" s="11">
        <v>0.2</v>
      </c>
      <c r="O105" s="11" t="s">
        <v>28</v>
      </c>
      <c r="P105" s="11">
        <v>0.1</v>
      </c>
      <c r="Q105" s="11">
        <v>0.1</v>
      </c>
      <c r="R105" s="7">
        <v>0</v>
      </c>
      <c r="S105" s="7">
        <v>458</v>
      </c>
      <c r="T105" s="12">
        <v>450</v>
      </c>
      <c r="U105" s="12" t="str">
        <f>VLOOKUP(B105,'[1]Carreras 2027'!$B:$AT,45,FALSE)</f>
        <v>-</v>
      </c>
      <c r="V105" t="s">
        <v>353</v>
      </c>
    </row>
    <row r="106" spans="1:22" x14ac:dyDescent="0.3">
      <c r="A106" s="9" t="s">
        <v>67</v>
      </c>
      <c r="B106" s="7">
        <v>41164</v>
      </c>
      <c r="C106" s="8" t="s">
        <v>21</v>
      </c>
      <c r="D106" s="8" t="s">
        <v>354</v>
      </c>
      <c r="E106" s="8" t="s">
        <v>23</v>
      </c>
      <c r="F106" s="8" t="s">
        <v>355</v>
      </c>
      <c r="G106" s="9" t="s">
        <v>356</v>
      </c>
      <c r="H106" s="7" t="s">
        <v>25</v>
      </c>
      <c r="I106" s="7" t="s">
        <v>26</v>
      </c>
      <c r="J106" s="10" t="s">
        <v>354</v>
      </c>
      <c r="K106" s="11">
        <v>0.1</v>
      </c>
      <c r="L106" s="11">
        <v>0.3</v>
      </c>
      <c r="M106" s="11">
        <v>0.15</v>
      </c>
      <c r="N106" s="11">
        <v>0.2</v>
      </c>
      <c r="O106" s="11" t="s">
        <v>28</v>
      </c>
      <c r="P106" s="11" t="s">
        <v>28</v>
      </c>
      <c r="Q106" s="11">
        <v>0.25</v>
      </c>
      <c r="R106" s="7">
        <v>0</v>
      </c>
      <c r="S106" s="7">
        <v>458</v>
      </c>
      <c r="T106" s="12">
        <v>882</v>
      </c>
      <c r="U106" s="12">
        <f>VLOOKUP(B106,'[1]Carreras 2027'!$B:$AT,45,FALSE)</f>
        <v>885</v>
      </c>
      <c r="V106" t="s">
        <v>357</v>
      </c>
    </row>
    <row r="107" spans="1:22" x14ac:dyDescent="0.3">
      <c r="A107" s="6" t="s">
        <v>108</v>
      </c>
      <c r="B107" s="7">
        <v>41056</v>
      </c>
      <c r="C107" s="8" t="s">
        <v>31</v>
      </c>
      <c r="D107" s="8" t="s">
        <v>354</v>
      </c>
      <c r="E107" s="8" t="s">
        <v>23</v>
      </c>
      <c r="F107" s="8" t="s">
        <v>355</v>
      </c>
      <c r="G107" s="9" t="s">
        <v>358</v>
      </c>
      <c r="H107" s="7" t="s">
        <v>33</v>
      </c>
      <c r="I107" s="7" t="s">
        <v>26</v>
      </c>
      <c r="J107" s="10" t="s">
        <v>354</v>
      </c>
      <c r="K107" s="11">
        <v>0.1</v>
      </c>
      <c r="L107" s="11">
        <v>0.3</v>
      </c>
      <c r="M107" s="11">
        <v>0.15</v>
      </c>
      <c r="N107" s="11">
        <v>0.2</v>
      </c>
      <c r="O107" s="11" t="s">
        <v>28</v>
      </c>
      <c r="P107" s="11" t="s">
        <v>28</v>
      </c>
      <c r="Q107" s="11">
        <v>0.25</v>
      </c>
      <c r="R107" s="7">
        <v>0</v>
      </c>
      <c r="S107" s="7">
        <v>458</v>
      </c>
      <c r="T107" s="12">
        <v>896</v>
      </c>
      <c r="U107" s="12">
        <f>VLOOKUP(B107,'[1]Carreras 2027'!$B:$AT,45,FALSE)</f>
        <v>910</v>
      </c>
      <c r="V107" t="s">
        <v>359</v>
      </c>
    </row>
    <row r="108" spans="1:22" x14ac:dyDescent="0.3">
      <c r="A108" s="6" t="s">
        <v>145</v>
      </c>
      <c r="B108" s="7">
        <v>41095</v>
      </c>
      <c r="C108" s="8" t="s">
        <v>36</v>
      </c>
      <c r="D108" s="8" t="s">
        <v>354</v>
      </c>
      <c r="E108" s="8" t="s">
        <v>23</v>
      </c>
      <c r="F108" s="8" t="s">
        <v>355</v>
      </c>
      <c r="G108" s="9" t="s">
        <v>360</v>
      </c>
      <c r="H108" s="7" t="s">
        <v>38</v>
      </c>
      <c r="I108" s="7" t="s">
        <v>26</v>
      </c>
      <c r="J108" s="10" t="s">
        <v>354</v>
      </c>
      <c r="K108" s="11">
        <v>0.1</v>
      </c>
      <c r="L108" s="11">
        <v>0.3</v>
      </c>
      <c r="M108" s="11">
        <v>0.15</v>
      </c>
      <c r="N108" s="11">
        <v>0.2</v>
      </c>
      <c r="O108" s="11" t="s">
        <v>28</v>
      </c>
      <c r="P108" s="11" t="s">
        <v>28</v>
      </c>
      <c r="Q108" s="11">
        <v>0.25</v>
      </c>
      <c r="R108" s="7">
        <v>0</v>
      </c>
      <c r="S108" s="7">
        <v>458</v>
      </c>
      <c r="T108" s="12">
        <v>885</v>
      </c>
      <c r="U108" s="12">
        <f>VLOOKUP(B108,'[1]Carreras 2027'!$B:$AT,45,FALSE)</f>
        <v>891</v>
      </c>
      <c r="V108" t="s">
        <v>361</v>
      </c>
    </row>
    <row r="109" spans="1:22" x14ac:dyDescent="0.3">
      <c r="A109" s="6"/>
      <c r="B109" s="7">
        <v>41228</v>
      </c>
      <c r="C109" s="8" t="s">
        <v>31</v>
      </c>
      <c r="D109" s="8" t="s">
        <v>354</v>
      </c>
      <c r="E109" s="8" t="s">
        <v>23</v>
      </c>
      <c r="F109" s="8" t="s">
        <v>355</v>
      </c>
      <c r="G109" s="9" t="s">
        <v>362</v>
      </c>
      <c r="H109" s="7" t="s">
        <v>58</v>
      </c>
      <c r="I109" s="7" t="s">
        <v>26</v>
      </c>
      <c r="J109" s="10" t="s">
        <v>354</v>
      </c>
      <c r="K109" s="11"/>
      <c r="L109" s="11"/>
      <c r="M109" s="11"/>
      <c r="N109" s="11"/>
      <c r="O109" s="11"/>
      <c r="P109" s="11"/>
      <c r="Q109" s="11"/>
      <c r="R109" s="7"/>
      <c r="S109" s="7"/>
      <c r="T109" s="12"/>
      <c r="U109" s="12">
        <f>VLOOKUP(B109,'[1]Carreras 2027'!$B:$AT,45,FALSE)</f>
        <v>910</v>
      </c>
      <c r="V109" t="s">
        <v>359</v>
      </c>
    </row>
    <row r="110" spans="1:22" x14ac:dyDescent="0.3">
      <c r="A110" s="9" t="s">
        <v>62</v>
      </c>
      <c r="B110" s="7">
        <v>41197</v>
      </c>
      <c r="C110" s="8" t="s">
        <v>21</v>
      </c>
      <c r="D110" s="8" t="s">
        <v>22</v>
      </c>
      <c r="E110" s="8" t="s">
        <v>23</v>
      </c>
      <c r="F110" s="8" t="s">
        <v>363</v>
      </c>
      <c r="G110" s="9" t="s">
        <v>96</v>
      </c>
      <c r="H110" s="7" t="s">
        <v>25</v>
      </c>
      <c r="I110" s="7" t="s">
        <v>26</v>
      </c>
      <c r="J110" s="13" t="s">
        <v>364</v>
      </c>
      <c r="K110" s="11">
        <v>0.2</v>
      </c>
      <c r="L110" s="11">
        <v>0.1</v>
      </c>
      <c r="M110" s="11">
        <v>0.1</v>
      </c>
      <c r="N110" s="11">
        <v>0.3</v>
      </c>
      <c r="O110" s="11" t="s">
        <v>28</v>
      </c>
      <c r="P110" s="32" t="s">
        <v>28</v>
      </c>
      <c r="Q110" s="11">
        <v>0.3</v>
      </c>
      <c r="R110" s="7">
        <v>0</v>
      </c>
      <c r="S110" s="7">
        <v>458</v>
      </c>
      <c r="T110" s="12">
        <v>468</v>
      </c>
      <c r="U110" s="12">
        <f>VLOOKUP(B110,'[1]Carreras 2027'!$B:$AT,45,FALSE)</f>
        <v>450</v>
      </c>
      <c r="V110" t="s">
        <v>365</v>
      </c>
    </row>
    <row r="111" spans="1:22" x14ac:dyDescent="0.3">
      <c r="A111" s="6" t="s">
        <v>110</v>
      </c>
      <c r="B111" s="7">
        <v>41026</v>
      </c>
      <c r="C111" s="8" t="s">
        <v>31</v>
      </c>
      <c r="D111" s="8" t="s">
        <v>22</v>
      </c>
      <c r="E111" s="8" t="s">
        <v>23</v>
      </c>
      <c r="F111" s="8" t="str">
        <f t="shared" ref="F111:F123" si="6">MID(G111,1,9)</f>
        <v>UNAB19150</v>
      </c>
      <c r="G111" s="9" t="s">
        <v>275</v>
      </c>
      <c r="H111" s="7" t="s">
        <v>33</v>
      </c>
      <c r="I111" s="7" t="s">
        <v>26</v>
      </c>
      <c r="J111" s="10" t="s">
        <v>364</v>
      </c>
      <c r="K111" s="11">
        <v>0.2</v>
      </c>
      <c r="L111" s="11">
        <v>0.1</v>
      </c>
      <c r="M111" s="11">
        <v>0.1</v>
      </c>
      <c r="N111" s="11">
        <v>0.3</v>
      </c>
      <c r="O111" s="11" t="s">
        <v>28</v>
      </c>
      <c r="P111" s="32" t="s">
        <v>28</v>
      </c>
      <c r="Q111" s="11">
        <v>0.3</v>
      </c>
      <c r="R111" s="7">
        <v>0</v>
      </c>
      <c r="S111" s="7">
        <v>458</v>
      </c>
      <c r="T111" s="12">
        <v>514</v>
      </c>
      <c r="U111" s="12">
        <f>VLOOKUP(B111,'[1]Carreras 2027'!$B:$AT,45,FALSE)</f>
        <v>450</v>
      </c>
      <c r="V111" t="s">
        <v>366</v>
      </c>
    </row>
    <row r="112" spans="1:22" x14ac:dyDescent="0.3">
      <c r="A112" s="6" t="s">
        <v>149</v>
      </c>
      <c r="B112" s="7">
        <v>41165</v>
      </c>
      <c r="C112" s="8" t="s">
        <v>36</v>
      </c>
      <c r="D112" s="8" t="s">
        <v>22</v>
      </c>
      <c r="E112" s="8" t="s">
        <v>23</v>
      </c>
      <c r="F112" s="8" t="str">
        <f t="shared" si="6"/>
        <v>UNAB19150</v>
      </c>
      <c r="G112" s="9" t="s">
        <v>30</v>
      </c>
      <c r="H112" s="7" t="s">
        <v>38</v>
      </c>
      <c r="I112" s="7" t="s">
        <v>26</v>
      </c>
      <c r="J112" s="10" t="s">
        <v>364</v>
      </c>
      <c r="K112" s="11">
        <v>0.2</v>
      </c>
      <c r="L112" s="11">
        <v>0.1</v>
      </c>
      <c r="M112" s="11">
        <v>0.1</v>
      </c>
      <c r="N112" s="11">
        <v>0.3</v>
      </c>
      <c r="O112" s="11" t="s">
        <v>28</v>
      </c>
      <c r="P112" s="32" t="s">
        <v>28</v>
      </c>
      <c r="Q112" s="11">
        <v>0.3</v>
      </c>
      <c r="R112" s="7">
        <v>0</v>
      </c>
      <c r="S112" s="7">
        <v>458</v>
      </c>
      <c r="T112" s="12">
        <v>490</v>
      </c>
      <c r="U112" s="12">
        <f>VLOOKUP(B112,'[1]Carreras 2027'!$B:$AT,45,FALSE)</f>
        <v>450</v>
      </c>
      <c r="V112" t="s">
        <v>367</v>
      </c>
    </row>
    <row r="113" spans="1:22" x14ac:dyDescent="0.3">
      <c r="A113" s="9" t="s">
        <v>57</v>
      </c>
      <c r="B113" s="7">
        <v>41125</v>
      </c>
      <c r="C113" s="8" t="s">
        <v>21</v>
      </c>
      <c r="D113" s="8" t="s">
        <v>354</v>
      </c>
      <c r="E113" s="8" t="s">
        <v>23</v>
      </c>
      <c r="F113" s="8" t="str">
        <f t="shared" si="6"/>
        <v>UNAB19951</v>
      </c>
      <c r="G113" s="9" t="s">
        <v>64</v>
      </c>
      <c r="H113" s="7" t="s">
        <v>25</v>
      </c>
      <c r="I113" s="7" t="s">
        <v>26</v>
      </c>
      <c r="J113" s="10" t="s">
        <v>368</v>
      </c>
      <c r="K113" s="11">
        <v>0.2</v>
      </c>
      <c r="L113" s="11">
        <v>0.3</v>
      </c>
      <c r="M113" s="11">
        <v>0.1</v>
      </c>
      <c r="N113" s="11">
        <v>0.3</v>
      </c>
      <c r="O113" s="11" t="s">
        <v>28</v>
      </c>
      <c r="P113" s="11" t="s">
        <v>28</v>
      </c>
      <c r="Q113" s="11">
        <v>0.1</v>
      </c>
      <c r="R113" s="7">
        <v>0</v>
      </c>
      <c r="S113" s="7">
        <v>458</v>
      </c>
      <c r="T113" s="12">
        <v>450</v>
      </c>
      <c r="U113" s="12">
        <f>VLOOKUP(B113,'[1]Carreras 2027'!$B:$AT,45,FALSE)</f>
        <v>450</v>
      </c>
      <c r="V113" t="s">
        <v>369</v>
      </c>
    </row>
    <row r="114" spans="1:22" x14ac:dyDescent="0.3">
      <c r="A114" s="6" t="s">
        <v>113</v>
      </c>
      <c r="B114" s="7">
        <v>41057</v>
      </c>
      <c r="C114" s="8" t="s">
        <v>31</v>
      </c>
      <c r="D114" s="8" t="s">
        <v>354</v>
      </c>
      <c r="E114" s="8" t="s">
        <v>23</v>
      </c>
      <c r="F114" s="8" t="str">
        <f t="shared" si="6"/>
        <v>UNAB19951</v>
      </c>
      <c r="G114" s="9" t="s">
        <v>69</v>
      </c>
      <c r="H114" s="7" t="s">
        <v>33</v>
      </c>
      <c r="I114" s="7" t="s">
        <v>26</v>
      </c>
      <c r="J114" s="10" t="s">
        <v>368</v>
      </c>
      <c r="K114" s="11">
        <v>0.2</v>
      </c>
      <c r="L114" s="11">
        <v>0.3</v>
      </c>
      <c r="M114" s="11">
        <v>0.1</v>
      </c>
      <c r="N114" s="11">
        <v>0.3</v>
      </c>
      <c r="O114" s="11" t="s">
        <v>28</v>
      </c>
      <c r="P114" s="11" t="s">
        <v>28</v>
      </c>
      <c r="Q114" s="11">
        <v>0.1</v>
      </c>
      <c r="R114" s="7">
        <v>0</v>
      </c>
      <c r="S114" s="7">
        <v>458</v>
      </c>
      <c r="T114" s="12">
        <v>450</v>
      </c>
      <c r="U114" s="12">
        <f>VLOOKUP(B114,'[1]Carreras 2027'!$B:$AT,45,FALSE)</f>
        <v>450</v>
      </c>
      <c r="V114" t="s">
        <v>370</v>
      </c>
    </row>
    <row r="115" spans="1:22" x14ac:dyDescent="0.3">
      <c r="A115" s="6" t="s">
        <v>153</v>
      </c>
      <c r="B115" s="7">
        <v>41096</v>
      </c>
      <c r="C115" s="8" t="s">
        <v>36</v>
      </c>
      <c r="D115" s="8" t="s">
        <v>354</v>
      </c>
      <c r="E115" s="8" t="s">
        <v>23</v>
      </c>
      <c r="F115" s="8" t="str">
        <f t="shared" si="6"/>
        <v>UNAB19951</v>
      </c>
      <c r="G115" s="9" t="s">
        <v>73</v>
      </c>
      <c r="H115" s="7" t="s">
        <v>38</v>
      </c>
      <c r="I115" s="7" t="s">
        <v>26</v>
      </c>
      <c r="J115" s="10" t="s">
        <v>368</v>
      </c>
      <c r="K115" s="11">
        <v>0.2</v>
      </c>
      <c r="L115" s="11">
        <v>0.3</v>
      </c>
      <c r="M115" s="11">
        <v>0.1</v>
      </c>
      <c r="N115" s="11">
        <v>0.3</v>
      </c>
      <c r="O115" s="11" t="s">
        <v>28</v>
      </c>
      <c r="P115" s="11" t="s">
        <v>28</v>
      </c>
      <c r="Q115" s="11">
        <v>0.1</v>
      </c>
      <c r="R115" s="7">
        <v>0</v>
      </c>
      <c r="S115" s="7">
        <v>458</v>
      </c>
      <c r="T115" s="12">
        <v>450</v>
      </c>
      <c r="U115" s="12">
        <f>VLOOKUP(B115,'[1]Carreras 2027'!$B:$AT,45,FALSE)</f>
        <v>450</v>
      </c>
      <c r="V115" t="s">
        <v>371</v>
      </c>
    </row>
    <row r="116" spans="1:22" x14ac:dyDescent="0.3">
      <c r="A116" s="6" t="s">
        <v>70</v>
      </c>
      <c r="B116" s="7">
        <v>41159</v>
      </c>
      <c r="C116" s="8" t="s">
        <v>21</v>
      </c>
      <c r="D116" s="8" t="s">
        <v>354</v>
      </c>
      <c r="E116" s="8" t="s">
        <v>23</v>
      </c>
      <c r="F116" s="8" t="str">
        <f t="shared" si="6"/>
        <v>UNAB19720</v>
      </c>
      <c r="G116" s="9" t="s">
        <v>200</v>
      </c>
      <c r="H116" s="7" t="s">
        <v>25</v>
      </c>
      <c r="I116" s="7" t="s">
        <v>26</v>
      </c>
      <c r="J116" s="10" t="s">
        <v>372</v>
      </c>
      <c r="K116" s="11">
        <v>0.1</v>
      </c>
      <c r="L116" s="11">
        <v>0.1</v>
      </c>
      <c r="M116" s="11">
        <v>0.1</v>
      </c>
      <c r="N116" s="11">
        <v>0.4</v>
      </c>
      <c r="O116" s="11" t="s">
        <v>28</v>
      </c>
      <c r="P116" s="11" t="s">
        <v>28</v>
      </c>
      <c r="Q116" s="11">
        <v>0.3</v>
      </c>
      <c r="R116" s="7">
        <v>0</v>
      </c>
      <c r="S116" s="7">
        <v>458</v>
      </c>
      <c r="T116" s="12">
        <v>605</v>
      </c>
      <c r="U116" s="12">
        <f>VLOOKUP(B116,'[1]Carreras 2027'!$B:$AT,45,FALSE)</f>
        <v>540</v>
      </c>
      <c r="V116" t="s">
        <v>373</v>
      </c>
    </row>
    <row r="117" spans="1:22" x14ac:dyDescent="0.3">
      <c r="A117" s="6" t="s">
        <v>116</v>
      </c>
      <c r="B117" s="7">
        <v>41168</v>
      </c>
      <c r="C117" s="8" t="s">
        <v>31</v>
      </c>
      <c r="D117" s="8" t="s">
        <v>354</v>
      </c>
      <c r="E117" s="8" t="s">
        <v>23</v>
      </c>
      <c r="F117" s="8" t="str">
        <f t="shared" si="6"/>
        <v>UNAB19720</v>
      </c>
      <c r="G117" s="9" t="s">
        <v>209</v>
      </c>
      <c r="H117" s="7" t="s">
        <v>33</v>
      </c>
      <c r="I117" s="7" t="s">
        <v>26</v>
      </c>
      <c r="J117" s="10" t="s">
        <v>372</v>
      </c>
      <c r="K117" s="11">
        <v>0.1</v>
      </c>
      <c r="L117" s="11">
        <v>0.1</v>
      </c>
      <c r="M117" s="11">
        <v>0.1</v>
      </c>
      <c r="N117" s="11">
        <v>0.4</v>
      </c>
      <c r="O117" s="11" t="s">
        <v>28</v>
      </c>
      <c r="P117" s="11" t="s">
        <v>28</v>
      </c>
      <c r="Q117" s="11">
        <v>0.3</v>
      </c>
      <c r="R117" s="7">
        <v>0</v>
      </c>
      <c r="S117" s="7">
        <v>458</v>
      </c>
      <c r="T117" s="12">
        <v>632</v>
      </c>
      <c r="U117" s="12">
        <f>VLOOKUP(B117,'[1]Carreras 2027'!$B:$AT,45,FALSE)</f>
        <v>540</v>
      </c>
      <c r="V117" t="s">
        <v>374</v>
      </c>
    </row>
    <row r="118" spans="1:22" x14ac:dyDescent="0.3">
      <c r="A118" s="6" t="s">
        <v>157</v>
      </c>
      <c r="B118" s="7">
        <v>41169</v>
      </c>
      <c r="C118" s="8" t="s">
        <v>36</v>
      </c>
      <c r="D118" s="8" t="s">
        <v>354</v>
      </c>
      <c r="E118" s="8" t="s">
        <v>23</v>
      </c>
      <c r="F118" s="8" t="str">
        <f t="shared" si="6"/>
        <v>UNAB19720</v>
      </c>
      <c r="G118" s="9" t="s">
        <v>227</v>
      </c>
      <c r="H118" s="7" t="s">
        <v>38</v>
      </c>
      <c r="I118" s="7" t="s">
        <v>26</v>
      </c>
      <c r="J118" s="10" t="s">
        <v>372</v>
      </c>
      <c r="K118" s="11">
        <v>0.1</v>
      </c>
      <c r="L118" s="11">
        <v>0.1</v>
      </c>
      <c r="M118" s="11">
        <v>0.1</v>
      </c>
      <c r="N118" s="11">
        <v>0.4</v>
      </c>
      <c r="O118" s="11" t="s">
        <v>28</v>
      </c>
      <c r="P118" s="11" t="s">
        <v>28</v>
      </c>
      <c r="Q118" s="11">
        <v>0.3</v>
      </c>
      <c r="R118" s="7">
        <v>0</v>
      </c>
      <c r="S118" s="7">
        <v>458</v>
      </c>
      <c r="T118" s="12">
        <v>574</v>
      </c>
      <c r="U118" s="12">
        <f>VLOOKUP(B118,'[1]Carreras 2027'!$B:$AT,45,FALSE)</f>
        <v>540</v>
      </c>
      <c r="V118" t="s">
        <v>375</v>
      </c>
    </row>
    <row r="119" spans="1:22" x14ac:dyDescent="0.3">
      <c r="A119" s="6" t="s">
        <v>74</v>
      </c>
      <c r="B119" s="7">
        <v>41127</v>
      </c>
      <c r="C119" s="8" t="s">
        <v>21</v>
      </c>
      <c r="D119" s="8" t="s">
        <v>376</v>
      </c>
      <c r="E119" s="8" t="s">
        <v>23</v>
      </c>
      <c r="F119" s="8" t="str">
        <f t="shared" si="6"/>
        <v>UNAB19910</v>
      </c>
      <c r="G119" s="9" t="s">
        <v>288</v>
      </c>
      <c r="H119" s="7" t="s">
        <v>25</v>
      </c>
      <c r="I119" s="7" t="s">
        <v>26</v>
      </c>
      <c r="J119" s="10" t="s">
        <v>376</v>
      </c>
      <c r="K119" s="11">
        <v>0.1</v>
      </c>
      <c r="L119" s="11">
        <v>0.4</v>
      </c>
      <c r="M119" s="11">
        <v>0.1</v>
      </c>
      <c r="N119" s="11">
        <v>0.15</v>
      </c>
      <c r="O119" s="11" t="s">
        <v>28</v>
      </c>
      <c r="P119" s="11" t="s">
        <v>28</v>
      </c>
      <c r="Q119" s="11">
        <v>0.25</v>
      </c>
      <c r="R119" s="7">
        <v>0</v>
      </c>
      <c r="S119" s="7">
        <v>458</v>
      </c>
      <c r="T119" s="12">
        <v>616</v>
      </c>
      <c r="U119" s="12">
        <f>VLOOKUP(B119,'[1]Carreras 2027'!$B:$AT,45,FALSE)</f>
        <v>450</v>
      </c>
      <c r="V119" t="s">
        <v>377</v>
      </c>
    </row>
    <row r="120" spans="1:22" x14ac:dyDescent="0.3">
      <c r="A120" s="6" t="s">
        <v>121</v>
      </c>
      <c r="B120" s="7">
        <v>41060</v>
      </c>
      <c r="C120" s="8" t="s">
        <v>31</v>
      </c>
      <c r="D120" s="8" t="s">
        <v>376</v>
      </c>
      <c r="E120" s="8" t="s">
        <v>23</v>
      </c>
      <c r="F120" s="8" t="str">
        <f t="shared" si="6"/>
        <v>UNAB19910</v>
      </c>
      <c r="G120" s="9" t="s">
        <v>321</v>
      </c>
      <c r="H120" s="7" t="s">
        <v>33</v>
      </c>
      <c r="I120" s="7" t="s">
        <v>26</v>
      </c>
      <c r="J120" s="10" t="s">
        <v>376</v>
      </c>
      <c r="K120" s="11">
        <v>0.1</v>
      </c>
      <c r="L120" s="11">
        <v>0.4</v>
      </c>
      <c r="M120" s="11">
        <v>0.1</v>
      </c>
      <c r="N120" s="11">
        <v>0.15</v>
      </c>
      <c r="O120" s="11" t="s">
        <v>28</v>
      </c>
      <c r="P120" s="11" t="s">
        <v>28</v>
      </c>
      <c r="Q120" s="11">
        <v>0.25</v>
      </c>
      <c r="R120" s="7">
        <v>0</v>
      </c>
      <c r="S120" s="7">
        <v>458</v>
      </c>
      <c r="T120" s="12">
        <v>556</v>
      </c>
      <c r="U120" s="12">
        <f>VLOOKUP(B120,'[1]Carreras 2027'!$B:$AT,45,FALSE)</f>
        <v>450</v>
      </c>
      <c r="V120" t="s">
        <v>378</v>
      </c>
    </row>
    <row r="121" spans="1:22" x14ac:dyDescent="0.3">
      <c r="A121" s="6" t="s">
        <v>160</v>
      </c>
      <c r="B121" s="7">
        <v>41099</v>
      </c>
      <c r="C121" s="8" t="s">
        <v>36</v>
      </c>
      <c r="D121" s="8" t="s">
        <v>376</v>
      </c>
      <c r="E121" s="8" t="s">
        <v>23</v>
      </c>
      <c r="F121" s="8" t="str">
        <f t="shared" si="6"/>
        <v>UNAB19910</v>
      </c>
      <c r="G121" s="9" t="s">
        <v>341</v>
      </c>
      <c r="H121" s="7" t="s">
        <v>38</v>
      </c>
      <c r="I121" s="7" t="s">
        <v>26</v>
      </c>
      <c r="J121" s="10" t="s">
        <v>376</v>
      </c>
      <c r="K121" s="11">
        <v>0.1</v>
      </c>
      <c r="L121" s="11">
        <v>0.4</v>
      </c>
      <c r="M121" s="11">
        <v>0.1</v>
      </c>
      <c r="N121" s="11">
        <v>0.15</v>
      </c>
      <c r="O121" s="11" t="s">
        <v>28</v>
      </c>
      <c r="P121" s="11" t="s">
        <v>28</v>
      </c>
      <c r="Q121" s="11">
        <v>0.25</v>
      </c>
      <c r="R121" s="7">
        <v>0</v>
      </c>
      <c r="S121" s="7">
        <v>458</v>
      </c>
      <c r="T121" s="12">
        <v>619</v>
      </c>
      <c r="U121" s="12">
        <f>VLOOKUP(B121,'[1]Carreras 2027'!$B:$AT,45,FALSE)</f>
        <v>450</v>
      </c>
      <c r="V121" t="s">
        <v>379</v>
      </c>
    </row>
    <row r="122" spans="1:22" x14ac:dyDescent="0.3">
      <c r="A122" s="6" t="s">
        <v>259</v>
      </c>
      <c r="B122" s="7">
        <v>41034</v>
      </c>
      <c r="C122" s="8" t="s">
        <v>31</v>
      </c>
      <c r="D122" s="8" t="s">
        <v>126</v>
      </c>
      <c r="E122" s="8" t="s">
        <v>23</v>
      </c>
      <c r="F122" s="8" t="str">
        <f t="shared" si="6"/>
        <v>UNAB15756</v>
      </c>
      <c r="G122" s="9" t="s">
        <v>343</v>
      </c>
      <c r="H122" s="7" t="s">
        <v>58</v>
      </c>
      <c r="I122" s="7" t="s">
        <v>26</v>
      </c>
      <c r="J122" s="14" t="s">
        <v>380</v>
      </c>
      <c r="K122" s="11">
        <v>0.2</v>
      </c>
      <c r="L122" s="11">
        <v>0.3</v>
      </c>
      <c r="M122" s="11">
        <v>0.1</v>
      </c>
      <c r="N122" s="11">
        <v>0.3</v>
      </c>
      <c r="O122" s="11" t="s">
        <v>28</v>
      </c>
      <c r="P122" s="11">
        <v>0.1</v>
      </c>
      <c r="Q122" s="11">
        <v>0.1</v>
      </c>
      <c r="R122" s="7">
        <v>0</v>
      </c>
      <c r="S122" s="12">
        <v>528</v>
      </c>
      <c r="T122" s="12">
        <v>480</v>
      </c>
      <c r="U122" s="12">
        <f>VLOOKUP(B122,'[1]Carreras 2027'!$B:$AT,45,FALSE)</f>
        <v>568</v>
      </c>
      <c r="V122" t="s">
        <v>381</v>
      </c>
    </row>
    <row r="123" spans="1:22" x14ac:dyDescent="0.3">
      <c r="A123" s="6" t="s">
        <v>382</v>
      </c>
      <c r="B123" s="7">
        <v>41080</v>
      </c>
      <c r="C123" s="8" t="s">
        <v>36</v>
      </c>
      <c r="D123" s="8" t="s">
        <v>126</v>
      </c>
      <c r="E123" s="8" t="s">
        <v>23</v>
      </c>
      <c r="F123" s="8" t="str">
        <f t="shared" si="6"/>
        <v>UNAB15756</v>
      </c>
      <c r="G123" s="9" t="s">
        <v>347</v>
      </c>
      <c r="H123" s="7" t="s">
        <v>38</v>
      </c>
      <c r="I123" s="7" t="s">
        <v>26</v>
      </c>
      <c r="J123" s="10" t="s">
        <v>380</v>
      </c>
      <c r="K123" s="11">
        <v>0.2</v>
      </c>
      <c r="L123" s="11">
        <v>0.3</v>
      </c>
      <c r="M123" s="11">
        <v>0.1</v>
      </c>
      <c r="N123" s="11">
        <v>0.3</v>
      </c>
      <c r="O123" s="11" t="s">
        <v>28</v>
      </c>
      <c r="P123" s="11">
        <v>0.1</v>
      </c>
      <c r="Q123" s="11">
        <v>0.1</v>
      </c>
      <c r="R123" s="7">
        <v>0</v>
      </c>
      <c r="S123" s="12">
        <v>528</v>
      </c>
      <c r="T123" s="12">
        <v>450</v>
      </c>
      <c r="U123" s="12">
        <f>VLOOKUP(B123,'[1]Carreras 2027'!$B:$AT,45,FALSE)</f>
        <v>568</v>
      </c>
      <c r="V123" t="s">
        <v>383</v>
      </c>
    </row>
    <row r="124" spans="1:22" x14ac:dyDescent="0.3">
      <c r="A124" s="6" t="s">
        <v>256</v>
      </c>
      <c r="B124" s="7">
        <v>41041</v>
      </c>
      <c r="C124" s="8" t="s">
        <v>31</v>
      </c>
      <c r="D124" s="8" t="s">
        <v>126</v>
      </c>
      <c r="E124" s="8" t="s">
        <v>23</v>
      </c>
      <c r="F124" s="8" t="s">
        <v>384</v>
      </c>
      <c r="G124" s="9" t="s">
        <v>351</v>
      </c>
      <c r="H124" s="7" t="s">
        <v>58</v>
      </c>
      <c r="I124" s="7" t="s">
        <v>26</v>
      </c>
      <c r="J124" s="14" t="s">
        <v>385</v>
      </c>
      <c r="K124" s="11">
        <v>0.2</v>
      </c>
      <c r="L124" s="11">
        <v>0.3</v>
      </c>
      <c r="M124" s="11">
        <v>0.15</v>
      </c>
      <c r="N124" s="11">
        <v>0.2</v>
      </c>
      <c r="O124" s="11" t="s">
        <v>28</v>
      </c>
      <c r="P124" s="11">
        <v>0.15</v>
      </c>
      <c r="Q124" s="11">
        <v>0.15</v>
      </c>
      <c r="R124" s="7">
        <v>0</v>
      </c>
      <c r="S124" s="12">
        <v>528</v>
      </c>
      <c r="T124" s="12">
        <v>463</v>
      </c>
      <c r="U124" s="12">
        <f>VLOOKUP(B124,'[1]Carreras 2027'!$B:$AT,45,FALSE)</f>
        <v>568</v>
      </c>
      <c r="V124" t="s">
        <v>386</v>
      </c>
    </row>
    <row r="125" spans="1:22" x14ac:dyDescent="0.3">
      <c r="A125" s="6" t="s">
        <v>338</v>
      </c>
      <c r="B125" s="7">
        <v>41116</v>
      </c>
      <c r="C125" s="8" t="s">
        <v>21</v>
      </c>
      <c r="D125" s="8" t="s">
        <v>126</v>
      </c>
      <c r="E125" s="8" t="s">
        <v>23</v>
      </c>
      <c r="F125" s="8" t="s">
        <v>384</v>
      </c>
      <c r="G125" s="9" t="s">
        <v>387</v>
      </c>
      <c r="H125" s="7" t="s">
        <v>25</v>
      </c>
      <c r="I125" s="7" t="s">
        <v>26</v>
      </c>
      <c r="J125" s="10" t="s">
        <v>385</v>
      </c>
      <c r="K125" s="11">
        <v>0.2</v>
      </c>
      <c r="L125" s="11">
        <v>0.3</v>
      </c>
      <c r="M125" s="11">
        <v>0.15</v>
      </c>
      <c r="N125" s="11">
        <v>0.2</v>
      </c>
      <c r="O125" s="11" t="s">
        <v>28</v>
      </c>
      <c r="P125" s="11">
        <v>0.15</v>
      </c>
      <c r="Q125" s="11">
        <v>0.15</v>
      </c>
      <c r="R125" s="7">
        <v>0</v>
      </c>
      <c r="S125" s="12">
        <v>528</v>
      </c>
      <c r="T125" s="12">
        <v>450</v>
      </c>
      <c r="U125" s="12">
        <f>VLOOKUP(B125,'[1]Carreras 2027'!$B:$AT,45,FALSE)</f>
        <v>568</v>
      </c>
      <c r="V125" t="s">
        <v>388</v>
      </c>
    </row>
    <row r="126" spans="1:22" x14ac:dyDescent="0.3">
      <c r="A126" s="6" t="s">
        <v>389</v>
      </c>
      <c r="B126" s="7">
        <v>41086</v>
      </c>
      <c r="C126" s="8" t="s">
        <v>36</v>
      </c>
      <c r="D126" s="8" t="s">
        <v>126</v>
      </c>
      <c r="E126" s="8" t="s">
        <v>23</v>
      </c>
      <c r="F126" s="8" t="s">
        <v>384</v>
      </c>
      <c r="G126" s="9" t="s">
        <v>390</v>
      </c>
      <c r="H126" s="7" t="s">
        <v>38</v>
      </c>
      <c r="I126" s="7" t="s">
        <v>26</v>
      </c>
      <c r="J126" s="10" t="s">
        <v>385</v>
      </c>
      <c r="K126" s="11">
        <v>0.2</v>
      </c>
      <c r="L126" s="11">
        <v>0.3</v>
      </c>
      <c r="M126" s="11">
        <v>0.15</v>
      </c>
      <c r="N126" s="11">
        <v>0.2</v>
      </c>
      <c r="O126" s="11" t="s">
        <v>28</v>
      </c>
      <c r="P126" s="11">
        <v>0.15</v>
      </c>
      <c r="Q126" s="11">
        <v>0.15</v>
      </c>
      <c r="R126" s="7">
        <v>0</v>
      </c>
      <c r="S126" s="12">
        <v>528</v>
      </c>
      <c r="T126" s="12">
        <v>450</v>
      </c>
      <c r="U126" s="12">
        <f>VLOOKUP(B126,'[1]Carreras 2027'!$B:$AT,45,FALSE)</f>
        <v>568</v>
      </c>
      <c r="V126" t="s">
        <v>391</v>
      </c>
    </row>
    <row r="127" spans="1:22" x14ac:dyDescent="0.3">
      <c r="A127" s="6" t="s">
        <v>289</v>
      </c>
      <c r="B127" s="7">
        <v>41019</v>
      </c>
      <c r="C127" s="8" t="s">
        <v>31</v>
      </c>
      <c r="D127" s="8" t="s">
        <v>41</v>
      </c>
      <c r="E127" s="8" t="s">
        <v>23</v>
      </c>
      <c r="F127" s="8" t="str">
        <f>MID(G127,1,9)</f>
        <v>UNAB11800</v>
      </c>
      <c r="G127" s="9" t="s">
        <v>392</v>
      </c>
      <c r="H127" s="7" t="s">
        <v>43</v>
      </c>
      <c r="I127" s="7" t="s">
        <v>26</v>
      </c>
      <c r="J127" s="10" t="s">
        <v>393</v>
      </c>
      <c r="K127" s="11">
        <v>0.2</v>
      </c>
      <c r="L127" s="11">
        <v>0.3</v>
      </c>
      <c r="M127" s="11">
        <v>0.25</v>
      </c>
      <c r="N127" s="11">
        <v>0.15</v>
      </c>
      <c r="O127" s="11" t="s">
        <v>28</v>
      </c>
      <c r="P127" s="11">
        <v>0.1</v>
      </c>
      <c r="Q127" s="11">
        <v>0.1</v>
      </c>
      <c r="R127" s="7">
        <v>0</v>
      </c>
      <c r="S127" s="7">
        <v>458</v>
      </c>
      <c r="T127" s="12">
        <v>450</v>
      </c>
      <c r="U127" s="12">
        <f>VLOOKUP(B127,'[1]Carreras 2027'!$B:$AT,45,FALSE)</f>
        <v>450</v>
      </c>
      <c r="V127" t="s">
        <v>394</v>
      </c>
    </row>
    <row r="128" spans="1:22" x14ac:dyDescent="0.3">
      <c r="A128" s="6" t="s">
        <v>261</v>
      </c>
      <c r="B128" s="19">
        <v>4</v>
      </c>
      <c r="C128" s="8" t="s">
        <v>31</v>
      </c>
      <c r="D128" s="8" t="s">
        <v>126</v>
      </c>
      <c r="E128" s="8" t="s">
        <v>23</v>
      </c>
      <c r="F128" s="8" t="s">
        <v>395</v>
      </c>
      <c r="G128" s="9" t="s">
        <v>159</v>
      </c>
      <c r="H128" s="7" t="s">
        <v>58</v>
      </c>
      <c r="I128" s="7" t="s">
        <v>26</v>
      </c>
      <c r="J128" s="20" t="s">
        <v>396</v>
      </c>
      <c r="K128" s="11"/>
      <c r="L128" s="21" t="s">
        <v>28</v>
      </c>
      <c r="M128" s="21" t="s">
        <v>28</v>
      </c>
      <c r="N128" s="21" t="s">
        <v>28</v>
      </c>
      <c r="O128" s="21" t="s">
        <v>28</v>
      </c>
      <c r="P128" s="21" t="s">
        <v>28</v>
      </c>
      <c r="Q128" s="21" t="s">
        <v>28</v>
      </c>
      <c r="R128" s="7">
        <v>0</v>
      </c>
      <c r="S128" s="19" t="s">
        <v>28</v>
      </c>
      <c r="T128" s="19" t="s">
        <v>28</v>
      </c>
      <c r="U128" s="12" t="str">
        <f>VLOOKUP(B128,'[1]Carreras 2027'!$B:$AT,45,FALSE)</f>
        <v>-</v>
      </c>
      <c r="V128" t="s">
        <v>397</v>
      </c>
    </row>
    <row r="129" spans="1:22" x14ac:dyDescent="0.3">
      <c r="A129" s="13" t="s">
        <v>132</v>
      </c>
      <c r="B129" s="19">
        <v>5</v>
      </c>
      <c r="C129" s="8" t="s">
        <v>31</v>
      </c>
      <c r="D129" s="8" t="s">
        <v>88</v>
      </c>
      <c r="E129" s="8" t="s">
        <v>23</v>
      </c>
      <c r="F129" s="8" t="s">
        <v>398</v>
      </c>
      <c r="G129" s="9" t="s">
        <v>35</v>
      </c>
      <c r="H129" s="7" t="s">
        <v>33</v>
      </c>
      <c r="I129" s="7" t="s">
        <v>99</v>
      </c>
      <c r="J129" s="13" t="s">
        <v>399</v>
      </c>
      <c r="K129" s="21" t="s">
        <v>28</v>
      </c>
      <c r="L129" s="21" t="s">
        <v>28</v>
      </c>
      <c r="M129" s="21" t="s">
        <v>28</v>
      </c>
      <c r="N129" s="21" t="s">
        <v>28</v>
      </c>
      <c r="O129" s="21" t="s">
        <v>28</v>
      </c>
      <c r="P129" s="21" t="s">
        <v>28</v>
      </c>
      <c r="Q129" s="21" t="s">
        <v>28</v>
      </c>
      <c r="R129" s="7">
        <v>0</v>
      </c>
      <c r="S129" s="19" t="s">
        <v>28</v>
      </c>
      <c r="T129" s="19" t="s">
        <v>28</v>
      </c>
      <c r="U129" s="12" t="str">
        <f>VLOOKUP(B129,'[1]Carreras 2027'!$B:$AT,45,FALSE)</f>
        <v>-</v>
      </c>
      <c r="V129" t="s">
        <v>400</v>
      </c>
    </row>
    <row r="130" spans="1:22" x14ac:dyDescent="0.3">
      <c r="A130" s="6" t="s">
        <v>264</v>
      </c>
      <c r="B130" s="7">
        <v>41015</v>
      </c>
      <c r="C130" s="8" t="s">
        <v>31</v>
      </c>
      <c r="D130" s="8" t="s">
        <v>126</v>
      </c>
      <c r="E130" s="8" t="s">
        <v>23</v>
      </c>
      <c r="F130" s="8" t="str">
        <f t="shared" ref="F130:F151" si="7">MID(G130,1,9)</f>
        <v>UNAB11900</v>
      </c>
      <c r="G130" s="9" t="s">
        <v>49</v>
      </c>
      <c r="H130" s="7" t="s">
        <v>58</v>
      </c>
      <c r="I130" s="7" t="s">
        <v>26</v>
      </c>
      <c r="J130" s="14" t="s">
        <v>401</v>
      </c>
      <c r="K130" s="11">
        <v>0.1</v>
      </c>
      <c r="L130" s="11">
        <v>0.2</v>
      </c>
      <c r="M130" s="11">
        <v>0.4</v>
      </c>
      <c r="N130" s="11">
        <v>0.1</v>
      </c>
      <c r="O130" s="11" t="s">
        <v>28</v>
      </c>
      <c r="P130" s="11">
        <v>0.2</v>
      </c>
      <c r="Q130" s="11">
        <v>0.2</v>
      </c>
      <c r="R130" s="7">
        <v>0</v>
      </c>
      <c r="S130" s="7">
        <v>458</v>
      </c>
      <c r="T130" s="12">
        <v>492</v>
      </c>
      <c r="U130" s="12">
        <f>VLOOKUP(B130,'[1]Carreras 2027'!$B:$AT,45,FALSE)</f>
        <v>450</v>
      </c>
      <c r="V130" t="s">
        <v>402</v>
      </c>
    </row>
    <row r="131" spans="1:22" x14ac:dyDescent="0.3">
      <c r="A131" s="6" t="s">
        <v>344</v>
      </c>
      <c r="B131" s="7">
        <v>41104</v>
      </c>
      <c r="C131" s="8" t="s">
        <v>21</v>
      </c>
      <c r="D131" s="8" t="s">
        <v>126</v>
      </c>
      <c r="E131" s="8" t="s">
        <v>23</v>
      </c>
      <c r="F131" s="8" t="str">
        <f t="shared" si="7"/>
        <v>UNAB11900</v>
      </c>
      <c r="G131" s="9" t="s">
        <v>66</v>
      </c>
      <c r="H131" s="7" t="s">
        <v>25</v>
      </c>
      <c r="I131" s="7" t="s">
        <v>26</v>
      </c>
      <c r="J131" s="10" t="s">
        <v>401</v>
      </c>
      <c r="K131" s="11">
        <v>0.1</v>
      </c>
      <c r="L131" s="11">
        <v>0.2</v>
      </c>
      <c r="M131" s="11">
        <v>0.4</v>
      </c>
      <c r="N131" s="11">
        <v>0.1</v>
      </c>
      <c r="O131" s="11" t="s">
        <v>28</v>
      </c>
      <c r="P131" s="11">
        <v>0.2</v>
      </c>
      <c r="Q131" s="11">
        <v>0.2</v>
      </c>
      <c r="R131" s="7">
        <v>0</v>
      </c>
      <c r="S131" s="7">
        <v>458</v>
      </c>
      <c r="T131" s="12">
        <v>450</v>
      </c>
      <c r="U131" s="12">
        <f>VLOOKUP(B131,'[1]Carreras 2027'!$B:$AT,45,FALSE)</f>
        <v>450</v>
      </c>
      <c r="V131" t="s">
        <v>403</v>
      </c>
    </row>
    <row r="132" spans="1:22" x14ac:dyDescent="0.3">
      <c r="A132" s="6" t="s">
        <v>404</v>
      </c>
      <c r="B132" s="7">
        <v>41068</v>
      </c>
      <c r="C132" s="8" t="s">
        <v>36</v>
      </c>
      <c r="D132" s="8" t="s">
        <v>126</v>
      </c>
      <c r="E132" s="8" t="s">
        <v>23</v>
      </c>
      <c r="F132" s="8" t="str">
        <f t="shared" si="7"/>
        <v>UNAB11900</v>
      </c>
      <c r="G132" s="9" t="s">
        <v>93</v>
      </c>
      <c r="H132" s="7" t="s">
        <v>38</v>
      </c>
      <c r="I132" s="7" t="s">
        <v>26</v>
      </c>
      <c r="J132" s="10" t="s">
        <v>401</v>
      </c>
      <c r="K132" s="11">
        <v>0.1</v>
      </c>
      <c r="L132" s="11">
        <v>0.2</v>
      </c>
      <c r="M132" s="11">
        <v>0.4</v>
      </c>
      <c r="N132" s="11">
        <v>0.1</v>
      </c>
      <c r="O132" s="11" t="s">
        <v>28</v>
      </c>
      <c r="P132" s="11">
        <v>0.2</v>
      </c>
      <c r="Q132" s="11">
        <v>0.2</v>
      </c>
      <c r="R132" s="7">
        <v>0</v>
      </c>
      <c r="S132" s="7">
        <v>458</v>
      </c>
      <c r="T132" s="12">
        <v>450</v>
      </c>
      <c r="U132" s="12">
        <f>VLOOKUP(B132,'[1]Carreras 2027'!$B:$AT,45,FALSE)</f>
        <v>450</v>
      </c>
      <c r="V132" t="s">
        <v>405</v>
      </c>
    </row>
    <row r="133" spans="1:22" x14ac:dyDescent="0.3">
      <c r="A133" s="6" t="s">
        <v>406</v>
      </c>
      <c r="B133" s="7">
        <v>41194</v>
      </c>
      <c r="C133" s="8" t="s">
        <v>21</v>
      </c>
      <c r="D133" s="8" t="s">
        <v>126</v>
      </c>
      <c r="E133" s="8" t="s">
        <v>97</v>
      </c>
      <c r="F133" s="8" t="str">
        <f t="shared" si="7"/>
        <v>UNAB21900</v>
      </c>
      <c r="G133" s="9" t="s">
        <v>112</v>
      </c>
      <c r="H133" s="7" t="s">
        <v>25</v>
      </c>
      <c r="I133" s="7" t="s">
        <v>99</v>
      </c>
      <c r="J133" s="10" t="s">
        <v>407</v>
      </c>
      <c r="K133" s="11">
        <v>0.1</v>
      </c>
      <c r="L133" s="11">
        <v>0.2</v>
      </c>
      <c r="M133" s="11">
        <v>0.4</v>
      </c>
      <c r="N133" s="11">
        <v>0.1</v>
      </c>
      <c r="O133" s="11" t="s">
        <v>28</v>
      </c>
      <c r="P133" s="11">
        <v>0.2</v>
      </c>
      <c r="Q133" s="11">
        <v>0.2</v>
      </c>
      <c r="R133" s="7">
        <v>0</v>
      </c>
      <c r="S133" s="7">
        <v>458</v>
      </c>
      <c r="T133" s="12">
        <v>450</v>
      </c>
      <c r="U133" s="12">
        <f>VLOOKUP(B133,'[1]Carreras 2027'!$B:$AT,45,FALSE)</f>
        <v>450</v>
      </c>
      <c r="V133" t="s">
        <v>408</v>
      </c>
    </row>
    <row r="134" spans="1:22" x14ac:dyDescent="0.3">
      <c r="A134" s="6" t="s">
        <v>392</v>
      </c>
      <c r="B134" s="7">
        <v>41195</v>
      </c>
      <c r="C134" s="8" t="s">
        <v>31</v>
      </c>
      <c r="D134" s="8" t="s">
        <v>126</v>
      </c>
      <c r="E134" s="8" t="s">
        <v>97</v>
      </c>
      <c r="F134" s="8" t="str">
        <f t="shared" si="7"/>
        <v>UNAB21900</v>
      </c>
      <c r="G134" s="9" t="s">
        <v>134</v>
      </c>
      <c r="H134" s="7" t="s">
        <v>33</v>
      </c>
      <c r="I134" s="7" t="s">
        <v>99</v>
      </c>
      <c r="J134" s="10" t="s">
        <v>407</v>
      </c>
      <c r="K134" s="11">
        <v>0.1</v>
      </c>
      <c r="L134" s="11">
        <v>0.2</v>
      </c>
      <c r="M134" s="11">
        <v>0.4</v>
      </c>
      <c r="N134" s="11">
        <v>0.1</v>
      </c>
      <c r="O134" s="11" t="s">
        <v>28</v>
      </c>
      <c r="P134" s="11">
        <v>0.2</v>
      </c>
      <c r="Q134" s="11">
        <v>0.2</v>
      </c>
      <c r="R134" s="7">
        <v>0</v>
      </c>
      <c r="S134" s="7">
        <v>458</v>
      </c>
      <c r="T134" s="12">
        <v>450</v>
      </c>
      <c r="U134" s="12">
        <f>VLOOKUP(B134,'[1]Carreras 2027'!$B:$AT,45,FALSE)</f>
        <v>450</v>
      </c>
      <c r="V134" t="s">
        <v>409</v>
      </c>
    </row>
    <row r="135" spans="1:22" x14ac:dyDescent="0.3">
      <c r="A135" s="6"/>
      <c r="B135" s="7">
        <v>41196</v>
      </c>
      <c r="C135" s="8" t="s">
        <v>36</v>
      </c>
      <c r="D135" s="8" t="s">
        <v>126</v>
      </c>
      <c r="E135" s="8" t="s">
        <v>97</v>
      </c>
      <c r="F135" s="8" t="str">
        <f t="shared" si="7"/>
        <v>UNAB21900</v>
      </c>
      <c r="G135" s="9" t="s">
        <v>156</v>
      </c>
      <c r="H135" s="7" t="s">
        <v>38</v>
      </c>
      <c r="I135" s="7" t="s">
        <v>99</v>
      </c>
      <c r="J135" s="10" t="s">
        <v>407</v>
      </c>
      <c r="K135" s="11">
        <v>0.1</v>
      </c>
      <c r="L135" s="11">
        <v>0.2</v>
      </c>
      <c r="M135" s="11">
        <v>0.4</v>
      </c>
      <c r="N135" s="11">
        <v>0.1</v>
      </c>
      <c r="O135" s="11" t="s">
        <v>28</v>
      </c>
      <c r="P135" s="11">
        <v>0.2</v>
      </c>
      <c r="Q135" s="11">
        <v>0.2</v>
      </c>
      <c r="R135" s="7">
        <v>0</v>
      </c>
      <c r="S135" s="7">
        <v>458</v>
      </c>
      <c r="T135" s="12">
        <v>450</v>
      </c>
      <c r="U135" s="12">
        <f>VLOOKUP(B135,'[1]Carreras 2027'!$B:$AT,45,FALSE)</f>
        <v>450</v>
      </c>
      <c r="V135" t="s">
        <v>410</v>
      </c>
    </row>
    <row r="136" spans="1:22" x14ac:dyDescent="0.3">
      <c r="A136" s="6" t="s">
        <v>266</v>
      </c>
      <c r="B136" s="7">
        <v>41042</v>
      </c>
      <c r="C136" s="8" t="s">
        <v>31</v>
      </c>
      <c r="D136" s="8" t="s">
        <v>126</v>
      </c>
      <c r="E136" s="8" t="s">
        <v>23</v>
      </c>
      <c r="F136" s="8" t="str">
        <f t="shared" si="7"/>
        <v>UNAB13100</v>
      </c>
      <c r="G136" s="9" t="s">
        <v>185</v>
      </c>
      <c r="H136" s="7" t="s">
        <v>58</v>
      </c>
      <c r="I136" s="7" t="s">
        <v>26</v>
      </c>
      <c r="J136" s="14" t="s">
        <v>411</v>
      </c>
      <c r="K136" s="11">
        <v>0.2</v>
      </c>
      <c r="L136" s="11">
        <v>0.3</v>
      </c>
      <c r="M136" s="11">
        <v>0.2</v>
      </c>
      <c r="N136" s="11">
        <v>0.2</v>
      </c>
      <c r="O136" s="11" t="s">
        <v>28</v>
      </c>
      <c r="P136" s="11">
        <v>0.1</v>
      </c>
      <c r="Q136" s="11">
        <v>0.1</v>
      </c>
      <c r="R136" s="7">
        <v>0</v>
      </c>
      <c r="S136" s="7">
        <v>458</v>
      </c>
      <c r="T136" s="12">
        <v>450</v>
      </c>
      <c r="U136" s="12">
        <f>VLOOKUP(B136,'[1]Carreras 2027'!$B:$AT,45,FALSE)</f>
        <v>450</v>
      </c>
      <c r="V136" t="s">
        <v>412</v>
      </c>
    </row>
    <row r="137" spans="1:22" x14ac:dyDescent="0.3">
      <c r="A137" s="6" t="s">
        <v>413</v>
      </c>
      <c r="B137" s="7">
        <v>41087</v>
      </c>
      <c r="C137" s="8" t="s">
        <v>36</v>
      </c>
      <c r="D137" s="8" t="s">
        <v>126</v>
      </c>
      <c r="E137" s="8" t="s">
        <v>23</v>
      </c>
      <c r="F137" s="8" t="str">
        <f t="shared" si="7"/>
        <v>UNAB13100</v>
      </c>
      <c r="G137" s="9" t="s">
        <v>203</v>
      </c>
      <c r="H137" s="7" t="s">
        <v>38</v>
      </c>
      <c r="I137" s="7" t="s">
        <v>26</v>
      </c>
      <c r="J137" s="10" t="s">
        <v>411</v>
      </c>
      <c r="K137" s="11">
        <v>0.2</v>
      </c>
      <c r="L137" s="11">
        <v>0.3</v>
      </c>
      <c r="M137" s="11">
        <v>0.2</v>
      </c>
      <c r="N137" s="11">
        <v>0.2</v>
      </c>
      <c r="O137" s="11" t="s">
        <v>28</v>
      </c>
      <c r="P137" s="11">
        <v>0.1</v>
      </c>
      <c r="Q137" s="11">
        <v>0.1</v>
      </c>
      <c r="R137" s="7">
        <v>0</v>
      </c>
      <c r="S137" s="7">
        <v>458</v>
      </c>
      <c r="T137" s="12">
        <v>450</v>
      </c>
      <c r="U137" s="12">
        <f>VLOOKUP(B137,'[1]Carreras 2027'!$B:$AT,45,FALSE)</f>
        <v>450</v>
      </c>
      <c r="V137" t="s">
        <v>414</v>
      </c>
    </row>
    <row r="138" spans="1:22" x14ac:dyDescent="0.3">
      <c r="A138" s="6" t="s">
        <v>293</v>
      </c>
      <c r="B138" s="7">
        <v>41020</v>
      </c>
      <c r="C138" s="8" t="s">
        <v>31</v>
      </c>
      <c r="D138" s="8" t="s">
        <v>41</v>
      </c>
      <c r="E138" s="8" t="s">
        <v>23</v>
      </c>
      <c r="F138" s="8" t="str">
        <f t="shared" si="7"/>
        <v>UNAB11850</v>
      </c>
      <c r="G138" s="9" t="s">
        <v>229</v>
      </c>
      <c r="H138" s="7" t="s">
        <v>43</v>
      </c>
      <c r="I138" s="7" t="s">
        <v>26</v>
      </c>
      <c r="J138" s="10" t="s">
        <v>415</v>
      </c>
      <c r="K138" s="11">
        <v>0.3</v>
      </c>
      <c r="L138" s="11">
        <v>0.2</v>
      </c>
      <c r="M138" s="11">
        <v>0.3</v>
      </c>
      <c r="N138" s="11">
        <v>0.1</v>
      </c>
      <c r="O138" s="11" t="s">
        <v>28</v>
      </c>
      <c r="P138" s="11">
        <v>0.1</v>
      </c>
      <c r="Q138" s="11">
        <v>0.1</v>
      </c>
      <c r="R138" s="7">
        <v>0</v>
      </c>
      <c r="S138" s="7">
        <v>458</v>
      </c>
      <c r="T138" s="12">
        <v>450</v>
      </c>
      <c r="U138" s="12">
        <f>VLOOKUP(B138,'[1]Carreras 2027'!$B:$AT,45,FALSE)</f>
        <v>470</v>
      </c>
      <c r="V138" t="s">
        <v>416</v>
      </c>
    </row>
    <row r="139" spans="1:22" x14ac:dyDescent="0.3">
      <c r="A139" s="18" t="s">
        <v>348</v>
      </c>
      <c r="B139" s="33">
        <v>41210</v>
      </c>
      <c r="C139" s="8" t="s">
        <v>21</v>
      </c>
      <c r="D139" s="8" t="s">
        <v>41</v>
      </c>
      <c r="E139" s="8" t="s">
        <v>23</v>
      </c>
      <c r="F139" s="8" t="str">
        <f t="shared" si="7"/>
        <v>UNAB11850</v>
      </c>
      <c r="G139" s="9" t="s">
        <v>238</v>
      </c>
      <c r="H139" s="7" t="s">
        <v>25</v>
      </c>
      <c r="I139" s="7" t="s">
        <v>26</v>
      </c>
      <c r="J139" s="10" t="s">
        <v>415</v>
      </c>
      <c r="K139" s="11">
        <v>0.3</v>
      </c>
      <c r="L139" s="11">
        <v>0.2</v>
      </c>
      <c r="M139" s="11">
        <v>0.3</v>
      </c>
      <c r="N139" s="11">
        <v>0.1</v>
      </c>
      <c r="O139" s="11" t="s">
        <v>28</v>
      </c>
      <c r="P139" s="11">
        <v>0.1</v>
      </c>
      <c r="Q139" s="11">
        <v>0.1</v>
      </c>
      <c r="R139" s="7">
        <v>0</v>
      </c>
      <c r="S139" s="7">
        <v>458</v>
      </c>
      <c r="T139" s="12">
        <v>450</v>
      </c>
      <c r="U139" s="12">
        <f>VLOOKUP(B139,'[1]Carreras 2027'!$B:$AT,45,FALSE)</f>
        <v>470</v>
      </c>
      <c r="V139" t="s">
        <v>417</v>
      </c>
    </row>
    <row r="140" spans="1:22" x14ac:dyDescent="0.3">
      <c r="A140" s="6" t="s">
        <v>78</v>
      </c>
      <c r="B140" s="7">
        <v>41167</v>
      </c>
      <c r="C140" s="8" t="s">
        <v>21</v>
      </c>
      <c r="D140" s="8" t="s">
        <v>354</v>
      </c>
      <c r="E140" s="8" t="s">
        <v>23</v>
      </c>
      <c r="F140" s="8" t="str">
        <f t="shared" si="7"/>
        <v>UNAB19510</v>
      </c>
      <c r="G140" s="9" t="s">
        <v>418</v>
      </c>
      <c r="H140" s="7" t="s">
        <v>25</v>
      </c>
      <c r="I140" s="7" t="s">
        <v>26</v>
      </c>
      <c r="J140" s="10" t="s">
        <v>419</v>
      </c>
      <c r="K140" s="11">
        <v>0.2</v>
      </c>
      <c r="L140" s="11">
        <v>0.3</v>
      </c>
      <c r="M140" s="11">
        <v>0.1</v>
      </c>
      <c r="N140" s="11">
        <v>0.3</v>
      </c>
      <c r="O140" s="11" t="s">
        <v>28</v>
      </c>
      <c r="P140" s="11" t="s">
        <v>28</v>
      </c>
      <c r="Q140" s="11">
        <v>0.1</v>
      </c>
      <c r="R140" s="7">
        <v>0</v>
      </c>
      <c r="S140" s="7">
        <v>458</v>
      </c>
      <c r="T140" s="12">
        <v>573</v>
      </c>
      <c r="U140" s="12">
        <f>VLOOKUP(B140,'[1]Carreras 2027'!$B:$AT,45,FALSE)</f>
        <v>650</v>
      </c>
      <c r="V140" t="s">
        <v>420</v>
      </c>
    </row>
    <row r="141" spans="1:22" x14ac:dyDescent="0.3">
      <c r="A141" s="6" t="s">
        <v>123</v>
      </c>
      <c r="B141" s="7">
        <v>41058</v>
      </c>
      <c r="C141" s="8" t="s">
        <v>31</v>
      </c>
      <c r="D141" s="8" t="s">
        <v>354</v>
      </c>
      <c r="E141" s="8" t="s">
        <v>23</v>
      </c>
      <c r="F141" s="8" t="str">
        <f t="shared" si="7"/>
        <v>UNAB19510</v>
      </c>
      <c r="G141" s="9" t="s">
        <v>421</v>
      </c>
      <c r="H141" s="7" t="s">
        <v>33</v>
      </c>
      <c r="I141" s="7" t="s">
        <v>26</v>
      </c>
      <c r="J141" s="10" t="s">
        <v>419</v>
      </c>
      <c r="K141" s="11">
        <v>0.2</v>
      </c>
      <c r="L141" s="11">
        <v>0.3</v>
      </c>
      <c r="M141" s="11">
        <v>0.1</v>
      </c>
      <c r="N141" s="11">
        <v>0.3</v>
      </c>
      <c r="O141" s="11" t="s">
        <v>28</v>
      </c>
      <c r="P141" s="11" t="s">
        <v>28</v>
      </c>
      <c r="Q141" s="11">
        <v>0.1</v>
      </c>
      <c r="R141" s="7">
        <v>0</v>
      </c>
      <c r="S141" s="7">
        <v>458</v>
      </c>
      <c r="T141" s="12">
        <v>726</v>
      </c>
      <c r="U141" s="12">
        <f>VLOOKUP(B141,'[1]Carreras 2027'!$B:$AT,45,FALSE)</f>
        <v>650</v>
      </c>
      <c r="V141" t="s">
        <v>422</v>
      </c>
    </row>
    <row r="142" spans="1:22" x14ac:dyDescent="0.3">
      <c r="A142" s="6" t="s">
        <v>167</v>
      </c>
      <c r="B142" s="7">
        <v>41097</v>
      </c>
      <c r="C142" s="8" t="s">
        <v>36</v>
      </c>
      <c r="D142" s="8" t="s">
        <v>354</v>
      </c>
      <c r="E142" s="8" t="s">
        <v>23</v>
      </c>
      <c r="F142" s="8" t="str">
        <f t="shared" si="7"/>
        <v>UNAB19510</v>
      </c>
      <c r="G142" s="9" t="s">
        <v>423</v>
      </c>
      <c r="H142" s="7" t="s">
        <v>38</v>
      </c>
      <c r="I142" s="7" t="s">
        <v>26</v>
      </c>
      <c r="J142" s="10" t="s">
        <v>419</v>
      </c>
      <c r="K142" s="11">
        <v>0.2</v>
      </c>
      <c r="L142" s="11">
        <v>0.3</v>
      </c>
      <c r="M142" s="11">
        <v>0.1</v>
      </c>
      <c r="N142" s="11">
        <v>0.3</v>
      </c>
      <c r="O142" s="11" t="s">
        <v>28</v>
      </c>
      <c r="P142" s="11" t="s">
        <v>28</v>
      </c>
      <c r="Q142" s="11">
        <v>0.1</v>
      </c>
      <c r="R142" s="7">
        <v>0</v>
      </c>
      <c r="S142" s="7">
        <v>458</v>
      </c>
      <c r="T142" s="12">
        <v>693</v>
      </c>
      <c r="U142" s="12">
        <f>VLOOKUP(B142,'[1]Carreras 2027'!$B:$AT,45,FALSE)</f>
        <v>650</v>
      </c>
      <c r="V142" t="s">
        <v>424</v>
      </c>
    </row>
    <row r="143" spans="1:22" x14ac:dyDescent="0.3">
      <c r="A143" s="6" t="s">
        <v>387</v>
      </c>
      <c r="B143" s="7">
        <v>41016</v>
      </c>
      <c r="C143" s="8" t="s">
        <v>31</v>
      </c>
      <c r="D143" s="8" t="s">
        <v>126</v>
      </c>
      <c r="E143" s="8" t="s">
        <v>23</v>
      </c>
      <c r="F143" s="8" t="str">
        <f t="shared" si="7"/>
        <v>UNAB11910</v>
      </c>
      <c r="G143" s="9" t="s">
        <v>292</v>
      </c>
      <c r="H143" s="7" t="s">
        <v>33</v>
      </c>
      <c r="I143" s="7" t="s">
        <v>26</v>
      </c>
      <c r="J143" s="10" t="s">
        <v>425</v>
      </c>
      <c r="K143" s="11">
        <v>0.2</v>
      </c>
      <c r="L143" s="11">
        <v>0.3</v>
      </c>
      <c r="M143" s="11">
        <v>0.1</v>
      </c>
      <c r="N143" s="11">
        <v>0.2</v>
      </c>
      <c r="O143" s="11" t="s">
        <v>28</v>
      </c>
      <c r="P143" s="11">
        <v>0.2</v>
      </c>
      <c r="Q143" s="11">
        <v>0.2</v>
      </c>
      <c r="R143" s="7">
        <v>0</v>
      </c>
      <c r="S143" s="7">
        <v>458</v>
      </c>
      <c r="T143" s="12">
        <v>450</v>
      </c>
      <c r="U143" s="12">
        <f>VLOOKUP(B143,'[1]Carreras 2027'!$B:$AT,45,FALSE)</f>
        <v>450</v>
      </c>
      <c r="V143" t="s">
        <v>426</v>
      </c>
    </row>
    <row r="144" spans="1:22" x14ac:dyDescent="0.3">
      <c r="A144" s="34" t="s">
        <v>89</v>
      </c>
      <c r="B144" s="7">
        <v>41126</v>
      </c>
      <c r="C144" s="8" t="s">
        <v>21</v>
      </c>
      <c r="D144" s="8" t="s">
        <v>354</v>
      </c>
      <c r="E144" s="8" t="s">
        <v>23</v>
      </c>
      <c r="F144" s="8" t="str">
        <f t="shared" si="7"/>
        <v>UNAB19600</v>
      </c>
      <c r="G144" s="9" t="s">
        <v>297</v>
      </c>
      <c r="H144" s="7" t="s">
        <v>25</v>
      </c>
      <c r="I144" s="7" t="s">
        <v>26</v>
      </c>
      <c r="J144" s="10" t="s">
        <v>427</v>
      </c>
      <c r="K144" s="11">
        <v>0.2</v>
      </c>
      <c r="L144" s="11">
        <v>0.3</v>
      </c>
      <c r="M144" s="11">
        <v>0.1</v>
      </c>
      <c r="N144" s="11">
        <v>0.3</v>
      </c>
      <c r="O144" s="11" t="s">
        <v>28</v>
      </c>
      <c r="P144" s="11" t="s">
        <v>28</v>
      </c>
      <c r="Q144" s="11">
        <v>0.1</v>
      </c>
      <c r="R144" s="7">
        <v>0</v>
      </c>
      <c r="S144" s="7">
        <v>458</v>
      </c>
      <c r="T144" s="12">
        <v>559</v>
      </c>
      <c r="U144" s="12">
        <f>VLOOKUP(B144,'[1]Carreras 2027'!$B:$AT,45,FALSE)</f>
        <v>450</v>
      </c>
      <c r="V144" t="s">
        <v>428</v>
      </c>
    </row>
    <row r="145" spans="1:22" x14ac:dyDescent="0.3">
      <c r="A145" s="35" t="s">
        <v>128</v>
      </c>
      <c r="B145" s="7">
        <v>41059</v>
      </c>
      <c r="C145" s="8" t="s">
        <v>31</v>
      </c>
      <c r="D145" s="8" t="s">
        <v>354</v>
      </c>
      <c r="E145" s="8" t="s">
        <v>23</v>
      </c>
      <c r="F145" s="8" t="str">
        <f t="shared" si="7"/>
        <v>UNAB19600</v>
      </c>
      <c r="G145" s="9" t="s">
        <v>306</v>
      </c>
      <c r="H145" s="7" t="s">
        <v>33</v>
      </c>
      <c r="I145" s="7" t="s">
        <v>26</v>
      </c>
      <c r="J145" s="10" t="s">
        <v>427</v>
      </c>
      <c r="K145" s="11">
        <v>0.2</v>
      </c>
      <c r="L145" s="11">
        <v>0.3</v>
      </c>
      <c r="M145" s="11">
        <v>0.1</v>
      </c>
      <c r="N145" s="11">
        <v>0.3</v>
      </c>
      <c r="O145" s="11" t="s">
        <v>28</v>
      </c>
      <c r="P145" s="11" t="s">
        <v>28</v>
      </c>
      <c r="Q145" s="11">
        <v>0.1</v>
      </c>
      <c r="R145" s="7">
        <v>0</v>
      </c>
      <c r="S145" s="7">
        <v>458</v>
      </c>
      <c r="T145" s="12">
        <v>450</v>
      </c>
      <c r="U145" s="12">
        <f>VLOOKUP(B145,'[1]Carreras 2027'!$B:$AT,45,FALSE)</f>
        <v>450</v>
      </c>
      <c r="V145" t="s">
        <v>429</v>
      </c>
    </row>
    <row r="146" spans="1:22" x14ac:dyDescent="0.3">
      <c r="A146" s="34" t="s">
        <v>169</v>
      </c>
      <c r="B146" s="7">
        <v>41098</v>
      </c>
      <c r="C146" s="8" t="s">
        <v>36</v>
      </c>
      <c r="D146" s="8" t="s">
        <v>354</v>
      </c>
      <c r="E146" s="8" t="s">
        <v>23</v>
      </c>
      <c r="F146" s="8" t="str">
        <f t="shared" si="7"/>
        <v>UNAB19600</v>
      </c>
      <c r="G146" s="9" t="s">
        <v>314</v>
      </c>
      <c r="H146" s="7" t="s">
        <v>38</v>
      </c>
      <c r="I146" s="7" t="s">
        <v>26</v>
      </c>
      <c r="J146" s="10" t="s">
        <v>427</v>
      </c>
      <c r="K146" s="11">
        <v>0.2</v>
      </c>
      <c r="L146" s="11">
        <v>0.3</v>
      </c>
      <c r="M146" s="11">
        <v>0.1</v>
      </c>
      <c r="N146" s="11">
        <v>0.3</v>
      </c>
      <c r="O146" s="11" t="s">
        <v>28</v>
      </c>
      <c r="P146" s="11" t="s">
        <v>28</v>
      </c>
      <c r="Q146" s="11">
        <v>0.1</v>
      </c>
      <c r="R146" s="7">
        <v>0</v>
      </c>
      <c r="S146" s="7">
        <v>458</v>
      </c>
      <c r="T146" s="12">
        <v>479</v>
      </c>
      <c r="U146" s="12">
        <f>VLOOKUP(B146,'[1]Carreras 2027'!$B:$AT,45,FALSE)</f>
        <v>450</v>
      </c>
      <c r="V146" t="s">
        <v>430</v>
      </c>
    </row>
    <row r="147" spans="1:22" x14ac:dyDescent="0.3">
      <c r="A147" s="34" t="s">
        <v>50</v>
      </c>
      <c r="B147" s="7">
        <v>41010</v>
      </c>
      <c r="C147" s="8" t="s">
        <v>31</v>
      </c>
      <c r="D147" s="8" t="s">
        <v>188</v>
      </c>
      <c r="E147" s="8" t="s">
        <v>23</v>
      </c>
      <c r="F147" s="8" t="str">
        <f t="shared" si="7"/>
        <v>UNAB19850</v>
      </c>
      <c r="G147" s="9" t="s">
        <v>319</v>
      </c>
      <c r="H147" s="7" t="s">
        <v>58</v>
      </c>
      <c r="I147" s="7" t="s">
        <v>26</v>
      </c>
      <c r="J147" s="14" t="s">
        <v>431</v>
      </c>
      <c r="K147" s="11">
        <v>0.2</v>
      </c>
      <c r="L147" s="11">
        <v>0.3</v>
      </c>
      <c r="M147" s="11">
        <v>0.2</v>
      </c>
      <c r="N147" s="11">
        <v>0.2</v>
      </c>
      <c r="O147" s="11" t="s">
        <v>28</v>
      </c>
      <c r="P147" s="11">
        <v>0.1</v>
      </c>
      <c r="Q147" s="11">
        <v>0.1</v>
      </c>
      <c r="R147" s="7">
        <v>0</v>
      </c>
      <c r="S147" s="7">
        <v>458</v>
      </c>
      <c r="T147" s="12">
        <v>450</v>
      </c>
      <c r="U147" s="12">
        <f>VLOOKUP(B147,'[1]Carreras 2027'!$B:$AT,45,FALSE)</f>
        <v>450</v>
      </c>
      <c r="V147" t="s">
        <v>432</v>
      </c>
    </row>
    <row r="148" spans="1:22" x14ac:dyDescent="0.3">
      <c r="A148" s="34" t="s">
        <v>94</v>
      </c>
      <c r="B148" s="7">
        <v>41103</v>
      </c>
      <c r="C148" s="8" t="s">
        <v>21</v>
      </c>
      <c r="D148" s="8" t="s">
        <v>188</v>
      </c>
      <c r="E148" s="8" t="s">
        <v>23</v>
      </c>
      <c r="F148" s="8" t="str">
        <f t="shared" si="7"/>
        <v>UNAB19850</v>
      </c>
      <c r="G148" s="9" t="s">
        <v>382</v>
      </c>
      <c r="H148" s="7" t="s">
        <v>25</v>
      </c>
      <c r="I148" s="7" t="s">
        <v>26</v>
      </c>
      <c r="J148" s="10" t="s">
        <v>431</v>
      </c>
      <c r="K148" s="11">
        <v>0.2</v>
      </c>
      <c r="L148" s="11">
        <v>0.3</v>
      </c>
      <c r="M148" s="11">
        <v>0.2</v>
      </c>
      <c r="N148" s="11">
        <v>0.2</v>
      </c>
      <c r="O148" s="11" t="s">
        <v>28</v>
      </c>
      <c r="P148" s="11">
        <v>0.1</v>
      </c>
      <c r="Q148" s="11">
        <v>0.1</v>
      </c>
      <c r="R148" s="7">
        <v>0</v>
      </c>
      <c r="S148" s="7">
        <v>458</v>
      </c>
      <c r="T148" s="12">
        <v>450</v>
      </c>
      <c r="U148" s="12">
        <f>VLOOKUP(B148,'[1]Carreras 2027'!$B:$AT,45,FALSE)</f>
        <v>450</v>
      </c>
      <c r="V148" t="s">
        <v>433</v>
      </c>
    </row>
    <row r="149" spans="1:22" x14ac:dyDescent="0.3">
      <c r="A149" s="34" t="s">
        <v>170</v>
      </c>
      <c r="B149" s="7">
        <v>41067</v>
      </c>
      <c r="C149" s="8" t="s">
        <v>36</v>
      </c>
      <c r="D149" s="8" t="s">
        <v>188</v>
      </c>
      <c r="E149" s="8" t="s">
        <v>23</v>
      </c>
      <c r="F149" s="8" t="str">
        <f t="shared" si="7"/>
        <v>UNAB19850</v>
      </c>
      <c r="G149" s="9" t="s">
        <v>389</v>
      </c>
      <c r="H149" s="7" t="s">
        <v>38</v>
      </c>
      <c r="I149" s="7" t="s">
        <v>26</v>
      </c>
      <c r="J149" s="10" t="s">
        <v>431</v>
      </c>
      <c r="K149" s="11">
        <v>0.2</v>
      </c>
      <c r="L149" s="11">
        <v>0.3</v>
      </c>
      <c r="M149" s="11">
        <v>0.2</v>
      </c>
      <c r="N149" s="11">
        <v>0.2</v>
      </c>
      <c r="O149" s="11" t="s">
        <v>28</v>
      </c>
      <c r="P149" s="11">
        <v>0.1</v>
      </c>
      <c r="Q149" s="11">
        <v>0.1</v>
      </c>
      <c r="R149" s="7">
        <v>0</v>
      </c>
      <c r="S149" s="7">
        <v>458</v>
      </c>
      <c r="T149" s="12">
        <v>450</v>
      </c>
      <c r="U149" s="12">
        <f>VLOOKUP(B149,'[1]Carreras 2027'!$B:$AT,45,FALSE)</f>
        <v>450</v>
      </c>
      <c r="V149" t="s">
        <v>434</v>
      </c>
    </row>
    <row r="150" spans="1:22" x14ac:dyDescent="0.3">
      <c r="A150" s="34" t="s">
        <v>390</v>
      </c>
      <c r="B150" s="7">
        <v>41017</v>
      </c>
      <c r="C150" s="8" t="s">
        <v>31</v>
      </c>
      <c r="D150" s="8" t="s">
        <v>126</v>
      </c>
      <c r="E150" s="8" t="s">
        <v>23</v>
      </c>
      <c r="F150" s="8" t="str">
        <f t="shared" si="7"/>
        <v>UNAB11280</v>
      </c>
      <c r="G150" s="9" t="s">
        <v>404</v>
      </c>
      <c r="H150" s="7" t="s">
        <v>33</v>
      </c>
      <c r="I150" s="7" t="s">
        <v>26</v>
      </c>
      <c r="J150" s="10" t="s">
        <v>435</v>
      </c>
      <c r="K150" s="11">
        <v>0.3</v>
      </c>
      <c r="L150" s="11">
        <v>0.2</v>
      </c>
      <c r="M150" s="11">
        <v>0.3</v>
      </c>
      <c r="N150" s="11">
        <v>0.1</v>
      </c>
      <c r="O150" s="11" t="s">
        <v>28</v>
      </c>
      <c r="P150" s="11">
        <v>0.1</v>
      </c>
      <c r="Q150" s="11">
        <v>0.1</v>
      </c>
      <c r="R150" s="7">
        <v>0</v>
      </c>
      <c r="S150" s="7">
        <v>458</v>
      </c>
      <c r="T150" s="12">
        <v>450</v>
      </c>
      <c r="U150" s="12">
        <f>VLOOKUP(B150,'[1]Carreras 2027'!$B:$AT,45,FALSE)</f>
        <v>450</v>
      </c>
      <c r="V150" t="s">
        <v>436</v>
      </c>
    </row>
    <row r="151" spans="1:22" x14ac:dyDescent="0.3">
      <c r="B151" s="7">
        <v>41070</v>
      </c>
      <c r="C151" s="8" t="s">
        <v>36</v>
      </c>
      <c r="D151" s="8" t="s">
        <v>126</v>
      </c>
      <c r="E151" s="8" t="s">
        <v>23</v>
      </c>
      <c r="F151" s="8" t="str">
        <f t="shared" si="7"/>
        <v>UNAB11280</v>
      </c>
      <c r="G151" s="9" t="s">
        <v>413</v>
      </c>
      <c r="H151" s="7" t="s">
        <v>38</v>
      </c>
      <c r="I151" s="7" t="s">
        <v>26</v>
      </c>
      <c r="J151" s="10" t="s">
        <v>435</v>
      </c>
      <c r="K151" s="11">
        <v>0.3</v>
      </c>
      <c r="L151" s="11">
        <v>0.2</v>
      </c>
      <c r="M151" s="11">
        <v>0.3</v>
      </c>
      <c r="N151" s="11">
        <v>0.1</v>
      </c>
      <c r="O151" s="11" t="s">
        <v>28</v>
      </c>
      <c r="P151" s="11">
        <v>0.1</v>
      </c>
      <c r="Q151" s="11">
        <v>0.1</v>
      </c>
      <c r="R151" s="7">
        <v>0</v>
      </c>
      <c r="S151" s="7">
        <v>458</v>
      </c>
      <c r="T151" s="12">
        <v>450</v>
      </c>
      <c r="U151" s="12">
        <f>VLOOKUP(B151,'[1]Carreras 2027'!$B:$AT,45,FALSE)</f>
        <v>450</v>
      </c>
      <c r="V151" t="s">
        <v>437</v>
      </c>
    </row>
    <row r="154" spans="1:22" x14ac:dyDescent="0.3">
      <c r="L154" s="31"/>
    </row>
  </sheetData>
  <autoFilter ref="A1:V151" xr:uid="{00000000-0009-0000-0000-000002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PONDERACIONES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INZULZA RODRÍGUEZ, SEBASTIÁN I.</dc:creator>
  <cp:lastModifiedBy>INZULZA RODRÍGUEZ, SEBASTIÁN I.</cp:lastModifiedBy>
  <dcterms:created xsi:type="dcterms:W3CDTF">2026-10-06T21:59:59Z</dcterms:created>
  <dcterms:modified xsi:type="dcterms:W3CDTF">2026-10-06T22:00:21Z</dcterms:modified>
</cp:coreProperties>
</file>